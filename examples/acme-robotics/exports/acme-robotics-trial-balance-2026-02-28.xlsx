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Robotics Inc.</t>
        </is>
      </c>
    </row>
    <row r="2">
      <c r="A2" t="inlineStr">
        <is>
          <t>Trial Balance</t>
        </is>
      </c>
    </row>
    <row r="3">
      <c r="A3" t="inlineStr">
        <is>
          <t>As of February 28, 2026</t>
        </is>
      </c>
    </row>
    <row r="4"/>
    <row r="5">
      <c r="A5" t="inlineStr"/>
      <c r="B5" t="inlineStr">
        <is>
          <t>Debit</t>
        </is>
      </c>
      <c r="C5" t="inlineStr">
        <is>
          <t>Credit</t>
        </is>
      </c>
    </row>
    <row r="6">
      <c r="A6" t="inlineStr">
        <is>
          <t>1010 Northgate Checking 7742</t>
        </is>
      </c>
      <c r="B6">
        <f>314915.44</f>
        <v/>
      </c>
    </row>
    <row r="7">
      <c r="A7" t="inlineStr">
        <is>
          <t>1020 Northgate Savings 7809</t>
        </is>
      </c>
      <c r="B7">
        <f>45090.09</f>
        <v/>
      </c>
    </row>
    <row r="8">
      <c r="A8" t="inlineStr">
        <is>
          <t>1100 Accounts Receivable</t>
        </is>
      </c>
      <c r="B8">
        <f>360519.00</f>
        <v/>
      </c>
    </row>
    <row r="9">
      <c r="A9" t="inlineStr">
        <is>
          <t>1200 Paylane Clearing</t>
        </is>
      </c>
      <c r="C9">
        <f>232441.76</f>
        <v/>
      </c>
    </row>
    <row r="10">
      <c r="A10" t="inlineStr">
        <is>
          <t>1300 Prepaid Insurance</t>
        </is>
      </c>
      <c r="B10">
        <f>7200.00</f>
        <v/>
      </c>
    </row>
    <row r="11">
      <c r="A11" t="inlineStr">
        <is>
          <t>1310 Prepaid Software</t>
        </is>
      </c>
      <c r="B11">
        <f>4800.00</f>
        <v/>
      </c>
    </row>
    <row r="12">
      <c r="A12" t="inlineStr">
        <is>
          <t>1500 Machinery and Equipment</t>
        </is>
      </c>
      <c r="B12">
        <f>48000.00</f>
        <v/>
      </c>
    </row>
    <row r="13">
      <c r="A13" t="inlineStr">
        <is>
          <t>1510 Accumulated Depreciation</t>
        </is>
      </c>
      <c r="C13">
        <f>10400.00</f>
        <v/>
      </c>
    </row>
    <row r="14">
      <c r="A14" t="inlineStr">
        <is>
          <t>1600 Intangible Assets - Design License</t>
        </is>
      </c>
      <c r="B14">
        <f>60000.00</f>
        <v/>
      </c>
    </row>
    <row r="15">
      <c r="A15" t="inlineStr">
        <is>
          <t>1610 Accumulated Amortization - Design License</t>
        </is>
      </c>
      <c r="C15">
        <f>7000.00</f>
        <v/>
      </c>
    </row>
    <row r="16">
      <c r="A16" t="inlineStr">
        <is>
          <t>2010 Accounts Payable</t>
        </is>
      </c>
      <c r="C16">
        <f>93014.02</f>
        <v/>
      </c>
    </row>
    <row r="17">
      <c r="A17" t="inlineStr">
        <is>
          <t>2100 Vantage Card 3391</t>
        </is>
      </c>
      <c r="B17">
        <f>41385.93</f>
        <v/>
      </c>
    </row>
    <row r="18">
      <c r="A18" t="inlineStr">
        <is>
          <t>Vantage Credit Card 3391</t>
        </is>
      </c>
      <c r="C18">
        <f>32402.91</f>
        <v/>
      </c>
    </row>
    <row r="19">
      <c r="A19" t="inlineStr">
        <is>
          <t>3000 Common Stock</t>
        </is>
      </c>
      <c r="C19">
        <f>1000.00</f>
        <v/>
      </c>
    </row>
    <row r="20">
      <c r="A20" t="inlineStr">
        <is>
          <t>3100 Additional Paid-In Capital</t>
        </is>
      </c>
      <c r="C20">
        <f>24000.00</f>
        <v/>
      </c>
    </row>
    <row r="21">
      <c r="A21" t="inlineStr">
        <is>
          <t>3200 Opening Balance Equity</t>
        </is>
      </c>
      <c r="B21">
        <f>4182.65</f>
        <v/>
      </c>
    </row>
    <row r="22">
      <c r="A22" t="inlineStr">
        <is>
          <t>3300 SAFE - Simple Agreement for Future Equity</t>
        </is>
      </c>
      <c r="C22">
        <f>750000.00</f>
        <v/>
      </c>
    </row>
    <row r="23">
      <c r="A23" t="inlineStr">
        <is>
          <t>4000 Product Revenue</t>
        </is>
      </c>
      <c r="C23">
        <f>833608.57</f>
        <v/>
      </c>
    </row>
    <row r="24">
      <c r="A24" t="inlineStr">
        <is>
          <t>4100 Service Revenue</t>
        </is>
      </c>
      <c r="C24">
        <f>113750.00</f>
        <v/>
      </c>
    </row>
    <row r="25">
      <c r="A25" t="inlineStr">
        <is>
          <t>4900 Interest Income</t>
        </is>
      </c>
      <c r="C25">
        <f>90.09</f>
        <v/>
      </c>
    </row>
    <row r="26">
      <c r="A26" t="inlineStr">
        <is>
          <t>5000 Cost of Goods Sold - Components</t>
        </is>
      </c>
      <c r="B26">
        <f>201723.18</f>
        <v/>
      </c>
    </row>
    <row r="27">
      <c r="A27" t="inlineStr">
        <is>
          <t>5100 Shipping and Freight</t>
        </is>
      </c>
      <c r="B27">
        <f>28921.50</f>
        <v/>
      </c>
    </row>
    <row r="28">
      <c r="A28" t="inlineStr">
        <is>
          <t>6000 Salaries and Wages</t>
        </is>
      </c>
      <c r="B28">
        <f>613900.00</f>
        <v/>
      </c>
    </row>
    <row r="29">
      <c r="A29" t="inlineStr">
        <is>
          <t>6010 Payroll Taxes</t>
        </is>
      </c>
      <c r="B29">
        <f>46963.34</f>
        <v/>
      </c>
    </row>
    <row r="30">
      <c r="A30" t="inlineStr">
        <is>
          <t>6100 Contract Engineering</t>
        </is>
      </c>
      <c r="B30">
        <f>104285.66</f>
        <v/>
      </c>
    </row>
    <row r="31">
      <c r="A31" t="inlineStr">
        <is>
          <t>6200 Software Subscriptions</t>
        </is>
      </c>
      <c r="B31">
        <f>6013.35</f>
        <v/>
      </c>
    </row>
    <row r="32">
      <c r="A32" t="inlineStr">
        <is>
          <t>6300 Cloud Hosting</t>
        </is>
      </c>
      <c r="B32">
        <f>29603.35</f>
        <v/>
      </c>
    </row>
    <row r="33">
      <c r="A33" t="inlineStr">
        <is>
          <t>6400 Rent</t>
        </is>
      </c>
      <c r="B33">
        <f>58500.00</f>
        <v/>
      </c>
    </row>
    <row r="34">
      <c r="A34" t="inlineStr">
        <is>
          <t>6500 Insurance</t>
        </is>
      </c>
      <c r="B34">
        <f>7200.00</f>
        <v/>
      </c>
    </row>
    <row r="35">
      <c r="A35" t="inlineStr">
        <is>
          <t>6600 Marketing and Advertising</t>
        </is>
      </c>
      <c r="B35">
        <f>27598.52</f>
        <v/>
      </c>
    </row>
    <row r="36">
      <c r="A36" t="inlineStr">
        <is>
          <t>6700 Office Supplies</t>
        </is>
      </c>
      <c r="B36">
        <f>1709.13</f>
        <v/>
      </c>
    </row>
    <row r="37">
      <c r="A37" t="inlineStr">
        <is>
          <t>6800 Professional Fees</t>
        </is>
      </c>
      <c r="B37">
        <f>54013.42</f>
        <v/>
      </c>
    </row>
    <row r="38">
      <c r="A38" t="inlineStr">
        <is>
          <t>6900 Travel and Meals</t>
        </is>
      </c>
      <c r="B38">
        <f>6200.10</f>
        <v/>
      </c>
    </row>
    <row r="39">
      <c r="A39" t="inlineStr">
        <is>
          <t>6950 Bank and Processor Fees</t>
        </is>
      </c>
      <c r="B39">
        <f>7582.69</f>
        <v/>
      </c>
    </row>
    <row r="40">
      <c r="A40" t="inlineStr">
        <is>
          <t>7000 Depreciation Expense</t>
        </is>
      </c>
      <c r="B40">
        <f>10400.00</f>
        <v/>
      </c>
    </row>
    <row r="41">
      <c r="A41" t="inlineStr">
        <is>
          <t>7100 Amortization Expense</t>
        </is>
      </c>
      <c r="B41">
        <f>7000.00</f>
        <v/>
      </c>
    </row>
    <row r="42">
      <c r="A42" t="inlineStr">
        <is>
          <t>TOTAL</t>
        </is>
      </c>
      <c r="B42">
        <f>B6+B7+B8+B10+B11+B12+B14+B17+B21+B26+B27+B28+B29+B30+B31+B32+B33+B34+B35+B36+B37+B38+B39+B40+B41</f>
        <v/>
      </c>
      <c r="C42">
        <f>C9+C13+C15+C16+C18+C19+C20+C22+C23+C24+C25</f>
        <v/>
      </c>
    </row>
    <row r="43"/>
    <row r="44">
      <c r="A44" t="inlineStr">
        <is>
          <t>Accrual Basis Monday, March 02, 2026 08:03 PM GMT-8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2026-09-10T02:33:14Z</dcterms:created>
  <dcterms:modified xmlns:dcterms="http://purl.org/dc/terms/" xmlns:xsi="http://www.w3.org/2001/XMLSchema-instance" xsi:type="dcterms:W3CDTF">2026-09-10T02:33:14Z</dcterms:modified>
</cp:coreProperties>
</file>