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Robotics Inc.</t>
        </is>
      </c>
    </row>
    <row r="2">
      <c r="A2" t="inlineStr">
        <is>
          <t>Account List</t>
        </is>
      </c>
    </row>
    <row r="3"/>
    <row r="4">
      <c r="A4" t="inlineStr">
        <is>
          <t>Account #</t>
        </is>
      </c>
      <c r="B4" t="inlineStr">
        <is>
          <t>Full Name</t>
        </is>
      </c>
      <c r="C4" t="inlineStr">
        <is>
          <t>Type</t>
        </is>
      </c>
      <c r="D4" t="inlineStr">
        <is>
          <t>Detail Type</t>
        </is>
      </c>
      <c r="E4" t="inlineStr">
        <is>
          <t>Description</t>
        </is>
      </c>
      <c r="F4" t="inlineStr">
        <is>
          <t>Balance Total</t>
        </is>
      </c>
    </row>
    <row r="5">
      <c r="A5" t="inlineStr">
        <is>
          <t>1010</t>
        </is>
      </c>
      <c r="B5" t="inlineStr">
        <is>
          <t>Northgate Checking 7742</t>
        </is>
      </c>
      <c r="C5" t="inlineStr">
        <is>
          <t>Bank</t>
        </is>
      </c>
      <c r="D5" t="inlineStr">
        <is>
          <t>Checking</t>
        </is>
      </c>
      <c r="E5" t="inlineStr"/>
      <c r="F5">
        <f>314915.44</f>
        <v/>
      </c>
    </row>
    <row r="6">
      <c r="A6" t="inlineStr">
        <is>
          <t>1020</t>
        </is>
      </c>
      <c r="B6" t="inlineStr">
        <is>
          <t>Northgate Savings 7809</t>
        </is>
      </c>
      <c r="C6" t="inlineStr">
        <is>
          <t>Bank</t>
        </is>
      </c>
      <c r="D6" t="inlineStr">
        <is>
          <t>Savings</t>
        </is>
      </c>
      <c r="E6" t="inlineStr"/>
      <c r="F6">
        <f>45090.09</f>
        <v/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 (A/R)</t>
        </is>
      </c>
      <c r="D7" t="inlineStr">
        <is>
          <t>Accounts Receivable</t>
        </is>
      </c>
      <c r="E7" t="inlineStr"/>
      <c r="F7">
        <f>360519.00</f>
        <v/>
      </c>
    </row>
    <row r="8">
      <c r="A8" t="inlineStr">
        <is>
          <t>1200</t>
        </is>
      </c>
      <c r="B8" t="inlineStr">
        <is>
          <t>Paylane Clearing</t>
        </is>
      </c>
      <c r="C8" t="inlineStr">
        <is>
          <t>Other Current Assets</t>
        </is>
      </c>
      <c r="D8" t="inlineStr">
        <is>
          <t>Other Current Assets</t>
        </is>
      </c>
      <c r="E8" t="inlineStr"/>
      <c r="F8">
        <f>-232441.76</f>
        <v/>
      </c>
    </row>
    <row r="9">
      <c r="A9" t="inlineStr">
        <is>
          <t>1300</t>
        </is>
      </c>
      <c r="B9" t="inlineStr">
        <is>
          <t>Prepaid Insurance</t>
        </is>
      </c>
      <c r="C9" t="inlineStr">
        <is>
          <t>Other Current Assets</t>
        </is>
      </c>
      <c r="D9" t="inlineStr">
        <is>
          <t>Prepaid Expenses</t>
        </is>
      </c>
      <c r="E9" t="inlineStr"/>
      <c r="F9">
        <f>7200.00</f>
        <v/>
      </c>
    </row>
    <row r="10">
      <c r="A10" t="inlineStr">
        <is>
          <t>1310</t>
        </is>
      </c>
      <c r="B10" t="inlineStr">
        <is>
          <t>Prepaid Software</t>
        </is>
      </c>
      <c r="C10" t="inlineStr">
        <is>
          <t>Other Current Assets</t>
        </is>
      </c>
      <c r="D10" t="inlineStr">
        <is>
          <t>Prepaid Expenses</t>
        </is>
      </c>
      <c r="E10" t="inlineStr"/>
      <c r="F10">
        <f>4800.00</f>
        <v/>
      </c>
    </row>
    <row r="11">
      <c r="A11" t="inlineStr">
        <is>
          <t>1500</t>
        </is>
      </c>
      <c r="B11" t="inlineStr">
        <is>
          <t>Machinery and Equipment</t>
        </is>
      </c>
      <c r="C11" t="inlineStr">
        <is>
          <t>Fixed Assets</t>
        </is>
      </c>
      <c r="D11" t="inlineStr">
        <is>
          <t>Machinery and Equipment</t>
        </is>
      </c>
      <c r="E11" t="inlineStr"/>
      <c r="F11">
        <f>48000.00</f>
        <v/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Fixed Assets</t>
        </is>
      </c>
      <c r="D12" t="inlineStr">
        <is>
          <t>Accumulated Depreciation</t>
        </is>
      </c>
      <c r="E12" t="inlineStr"/>
      <c r="F12">
        <f>-10400.00</f>
        <v/>
      </c>
    </row>
    <row r="13">
      <c r="A13" t="inlineStr">
        <is>
          <t>1600</t>
        </is>
      </c>
      <c r="B13" t="inlineStr">
        <is>
          <t>Intangible Assets - Design License</t>
        </is>
      </c>
      <c r="C13" t="inlineStr">
        <is>
          <t>Other Assets</t>
        </is>
      </c>
      <c r="D13" t="inlineStr">
        <is>
          <t>Other Long Term Assets</t>
        </is>
      </c>
      <c r="E13" t="inlineStr"/>
      <c r="F13">
        <f>60000.00</f>
        <v/>
      </c>
    </row>
    <row r="14">
      <c r="A14" t="inlineStr">
        <is>
          <t>1610</t>
        </is>
      </c>
      <c r="B14" t="inlineStr">
        <is>
          <t>Accumulated Amortization - Design License</t>
        </is>
      </c>
      <c r="C14" t="inlineStr">
        <is>
          <t>Other Assets</t>
        </is>
      </c>
      <c r="D14" t="inlineStr">
        <is>
          <t>Other Long Term Assets</t>
        </is>
      </c>
      <c r="E14" t="inlineStr"/>
      <c r="F14">
        <f>-7000.00</f>
        <v/>
      </c>
    </row>
    <row r="15">
      <c r="A15" t="inlineStr">
        <is>
          <t>2010</t>
        </is>
      </c>
      <c r="B15" t="inlineStr">
        <is>
          <t>Accounts Payable</t>
        </is>
      </c>
      <c r="C15" t="inlineStr">
        <is>
          <t>Accounts Payable (A/P)</t>
        </is>
      </c>
      <c r="D15" t="inlineStr">
        <is>
          <t>Accounts Payable</t>
        </is>
      </c>
      <c r="E15" t="inlineStr"/>
      <c r="F15">
        <f>93014.02</f>
        <v/>
      </c>
    </row>
    <row r="16">
      <c r="A16" t="inlineStr">
        <is>
          <t>2100</t>
        </is>
      </c>
      <c r="B16" t="inlineStr">
        <is>
          <t>Vantage Card 3391</t>
        </is>
      </c>
      <c r="C16" t="inlineStr">
        <is>
          <t>Credit Card</t>
        </is>
      </c>
      <c r="D16" t="inlineStr">
        <is>
          <t>Credit Card</t>
        </is>
      </c>
      <c r="E16" t="inlineStr"/>
      <c r="F16">
        <f>-41385.93</f>
        <v/>
      </c>
    </row>
    <row r="17">
      <c r="A17" t="inlineStr"/>
      <c r="B17" t="inlineStr">
        <is>
          <t>Vantage Credit Card 3391</t>
        </is>
      </c>
      <c r="C17" t="inlineStr">
        <is>
          <t>Credit Card</t>
        </is>
      </c>
      <c r="D17" t="inlineStr">
        <is>
          <t>Credit Card</t>
        </is>
      </c>
      <c r="E17" t="inlineStr"/>
      <c r="F17">
        <f>32402.91</f>
        <v/>
      </c>
    </row>
    <row r="18">
      <c r="A18" t="inlineStr">
        <is>
          <t>3000</t>
        </is>
      </c>
      <c r="B18" t="inlineStr">
        <is>
          <t>Common Stock</t>
        </is>
      </c>
      <c r="C18" t="inlineStr">
        <is>
          <t>Equity</t>
        </is>
      </c>
      <c r="D18" t="inlineStr">
        <is>
          <t>Common Stock</t>
        </is>
      </c>
      <c r="E18" t="inlineStr"/>
      <c r="F18">
        <f>1000.00</f>
        <v/>
      </c>
    </row>
    <row r="19">
      <c r="A19" t="inlineStr">
        <is>
          <t>3100</t>
        </is>
      </c>
      <c r="B19" t="inlineStr">
        <is>
          <t>Additional Paid-In Capital</t>
        </is>
      </c>
      <c r="C19" t="inlineStr">
        <is>
          <t>Equity</t>
        </is>
      </c>
      <c r="D19" t="inlineStr">
        <is>
          <t>Paid-In Capital or Surplus</t>
        </is>
      </c>
      <c r="E19" t="inlineStr"/>
      <c r="F19">
        <f>24000.00</f>
        <v/>
      </c>
    </row>
    <row r="20">
      <c r="A20" t="inlineStr">
        <is>
          <t>3200</t>
        </is>
      </c>
      <c r="B20" t="inlineStr">
        <is>
          <t>Opening Balance Equity</t>
        </is>
      </c>
      <c r="C20" t="inlineStr">
        <is>
          <t>Equity</t>
        </is>
      </c>
      <c r="D20" t="inlineStr">
        <is>
          <t>Opening Balance Equity</t>
        </is>
      </c>
      <c r="E20" t="inlineStr"/>
      <c r="F20">
        <f>-4182.65</f>
        <v/>
      </c>
    </row>
    <row r="21">
      <c r="A21" t="inlineStr">
        <is>
          <t>3300</t>
        </is>
      </c>
      <c r="B21" t="inlineStr">
        <is>
          <t>SAFE - Simple Agreement for Future Equity</t>
        </is>
      </c>
      <c r="C21" t="inlineStr">
        <is>
          <t>Equity</t>
        </is>
      </c>
      <c r="D21" t="inlineStr">
        <is>
          <t>Other Equity</t>
        </is>
      </c>
      <c r="E21" t="inlineStr"/>
      <c r="F21">
        <f>750000.00</f>
        <v/>
      </c>
    </row>
    <row r="22">
      <c r="A22" t="inlineStr">
        <is>
          <t>3900</t>
        </is>
      </c>
      <c r="B22" t="inlineStr">
        <is>
          <t>Retained Earnings</t>
        </is>
      </c>
      <c r="C22" t="inlineStr">
        <is>
          <t>Equity</t>
        </is>
      </c>
      <c r="D22" t="inlineStr">
        <is>
          <t>Retained Earnings</t>
        </is>
      </c>
      <c r="E22" t="inlineStr"/>
      <c r="F22">
        <f>0.00</f>
        <v/>
      </c>
    </row>
    <row r="23">
      <c r="A23" t="inlineStr">
        <is>
          <t>4000</t>
        </is>
      </c>
      <c r="B23" t="inlineStr">
        <is>
          <t>Product Revenue</t>
        </is>
      </c>
      <c r="C23" t="inlineStr">
        <is>
          <t>Income</t>
        </is>
      </c>
      <c r="D23" t="inlineStr">
        <is>
          <t>Sales of Product Income</t>
        </is>
      </c>
      <c r="E23" t="inlineStr"/>
    </row>
    <row r="24">
      <c r="A24" t="inlineStr">
        <is>
          <t>4100</t>
        </is>
      </c>
      <c r="B24" t="inlineStr">
        <is>
          <t>Service Revenue</t>
        </is>
      </c>
      <c r="C24" t="inlineStr">
        <is>
          <t>Income</t>
        </is>
      </c>
      <c r="D24" t="inlineStr">
        <is>
          <t>Service/Fee Income</t>
        </is>
      </c>
      <c r="E24" t="inlineStr"/>
    </row>
    <row r="25">
      <c r="A25" t="inlineStr">
        <is>
          <t>4900</t>
        </is>
      </c>
      <c r="B25" t="inlineStr">
        <is>
          <t>Interest Income</t>
        </is>
      </c>
      <c r="C25" t="inlineStr">
        <is>
          <t>Other Income</t>
        </is>
      </c>
      <c r="D25" t="inlineStr">
        <is>
          <t>Interest Earned</t>
        </is>
      </c>
      <c r="E25" t="inlineStr"/>
    </row>
    <row r="26">
      <c r="A26" t="inlineStr">
        <is>
          <t>5000</t>
        </is>
      </c>
      <c r="B26" t="inlineStr">
        <is>
          <t>Cost of Goods Sold - Components</t>
        </is>
      </c>
      <c r="C26" t="inlineStr">
        <is>
          <t>Cost of Goods Sold</t>
        </is>
      </c>
      <c r="D26" t="inlineStr">
        <is>
          <t>Supplies and Materials - COS</t>
        </is>
      </c>
      <c r="E26" t="inlineStr"/>
    </row>
    <row r="27">
      <c r="A27" t="inlineStr">
        <is>
          <t>5100</t>
        </is>
      </c>
      <c r="B27" t="inlineStr">
        <is>
          <t>Shipping and Freight</t>
        </is>
      </c>
      <c r="C27" t="inlineStr">
        <is>
          <t>Cost of Goods Sold</t>
        </is>
      </c>
      <c r="D27" t="inlineStr">
        <is>
          <t>Shipping, Freight and Delivery - COS</t>
        </is>
      </c>
      <c r="E27" t="inlineStr"/>
    </row>
    <row r="28">
      <c r="A28" t="inlineStr">
        <is>
          <t>6000</t>
        </is>
      </c>
      <c r="B28" t="inlineStr">
        <is>
          <t>Salaries and Wages</t>
        </is>
      </c>
      <c r="C28" t="inlineStr">
        <is>
          <t>Expenses</t>
        </is>
      </c>
      <c r="D28" t="inlineStr">
        <is>
          <t>Payroll Expenses</t>
        </is>
      </c>
      <c r="E28" t="inlineStr"/>
    </row>
    <row r="29">
      <c r="A29" t="inlineStr">
        <is>
          <t>6010</t>
        </is>
      </c>
      <c r="B29" t="inlineStr">
        <is>
          <t>Payroll Taxes</t>
        </is>
      </c>
      <c r="C29" t="inlineStr">
        <is>
          <t>Expenses</t>
        </is>
      </c>
      <c r="D29" t="inlineStr">
        <is>
          <t>Payroll Expenses</t>
        </is>
      </c>
      <c r="E29" t="inlineStr"/>
    </row>
    <row r="30">
      <c r="A30" t="inlineStr">
        <is>
          <t>6100</t>
        </is>
      </c>
      <c r="B30" t="inlineStr">
        <is>
          <t>Contract Engineering</t>
        </is>
      </c>
      <c r="C30" t="inlineStr">
        <is>
          <t>Expenses</t>
        </is>
      </c>
      <c r="D30" t="inlineStr">
        <is>
          <t>Legal and Professional Fees</t>
        </is>
      </c>
      <c r="E30" t="inlineStr"/>
    </row>
    <row r="31">
      <c r="A31" t="inlineStr">
        <is>
          <t>6200</t>
        </is>
      </c>
      <c r="B31" t="inlineStr">
        <is>
          <t>Software Subscriptions</t>
        </is>
      </c>
      <c r="C31" t="inlineStr">
        <is>
          <t>Expenses</t>
        </is>
      </c>
      <c r="D31" t="inlineStr">
        <is>
          <t>Office/General Administrative Expenses</t>
        </is>
      </c>
      <c r="E31" t="inlineStr"/>
    </row>
    <row r="32">
      <c r="A32" t="inlineStr">
        <is>
          <t>6300</t>
        </is>
      </c>
      <c r="B32" t="inlineStr">
        <is>
          <t>Cloud Hosting</t>
        </is>
      </c>
      <c r="C32" t="inlineStr">
        <is>
          <t>Expenses</t>
        </is>
      </c>
      <c r="D32" t="inlineStr">
        <is>
          <t>Office/General Administrative Expenses</t>
        </is>
      </c>
      <c r="E32" t="inlineStr"/>
    </row>
    <row r="33">
      <c r="A33" t="inlineStr">
        <is>
          <t>6400</t>
        </is>
      </c>
      <c r="B33" t="inlineStr">
        <is>
          <t>Rent</t>
        </is>
      </c>
      <c r="C33" t="inlineStr">
        <is>
          <t>Expenses</t>
        </is>
      </c>
      <c r="D33" t="inlineStr">
        <is>
          <t>Rent or Lease of Buildings</t>
        </is>
      </c>
      <c r="E33" t="inlineStr"/>
    </row>
    <row r="34">
      <c r="A34" t="inlineStr">
        <is>
          <t>6500</t>
        </is>
      </c>
      <c r="B34" t="inlineStr">
        <is>
          <t>Insurance</t>
        </is>
      </c>
      <c r="C34" t="inlineStr">
        <is>
          <t>Expenses</t>
        </is>
      </c>
      <c r="D34" t="inlineStr">
        <is>
          <t>Insurance</t>
        </is>
      </c>
      <c r="E34" t="inlineStr"/>
    </row>
    <row r="35">
      <c r="A35" t="inlineStr">
        <is>
          <t>6600</t>
        </is>
      </c>
      <c r="B35" t="inlineStr">
        <is>
          <t>Marketing and Advertising</t>
        </is>
      </c>
      <c r="C35" t="inlineStr">
        <is>
          <t>Expenses</t>
        </is>
      </c>
      <c r="D35" t="inlineStr">
        <is>
          <t>Advertising/Promotional</t>
        </is>
      </c>
      <c r="E35" t="inlineStr"/>
    </row>
    <row r="36">
      <c r="A36" t="inlineStr">
        <is>
          <t>6700</t>
        </is>
      </c>
      <c r="B36" t="inlineStr">
        <is>
          <t>Office Supplies</t>
        </is>
      </c>
      <c r="C36" t="inlineStr">
        <is>
          <t>Expenses</t>
        </is>
      </c>
      <c r="D36" t="inlineStr">
        <is>
          <t>Office/General Administrative Expenses</t>
        </is>
      </c>
      <c r="E36" t="inlineStr"/>
    </row>
    <row r="37">
      <c r="A37" t="inlineStr">
        <is>
          <t>6800</t>
        </is>
      </c>
      <c r="B37" t="inlineStr">
        <is>
          <t>Professional Fees</t>
        </is>
      </c>
      <c r="C37" t="inlineStr">
        <is>
          <t>Expenses</t>
        </is>
      </c>
      <c r="D37" t="inlineStr">
        <is>
          <t>Legal and Professional Fees</t>
        </is>
      </c>
      <c r="E37" t="inlineStr"/>
    </row>
    <row r="38">
      <c r="A38" t="inlineStr">
        <is>
          <t>6900</t>
        </is>
      </c>
      <c r="B38" t="inlineStr">
        <is>
          <t>Travel and Meals</t>
        </is>
      </c>
      <c r="C38" t="inlineStr">
        <is>
          <t>Expenses</t>
        </is>
      </c>
      <c r="D38" t="inlineStr">
        <is>
          <t>Travel Meals</t>
        </is>
      </c>
      <c r="E38" t="inlineStr"/>
    </row>
    <row r="39">
      <c r="A39" t="inlineStr">
        <is>
          <t>6950</t>
        </is>
      </c>
      <c r="B39" t="inlineStr">
        <is>
          <t>Bank and Processor Fees</t>
        </is>
      </c>
      <c r="C39" t="inlineStr">
        <is>
          <t>Expenses</t>
        </is>
      </c>
      <c r="D39" t="inlineStr">
        <is>
          <t>Bank Charges</t>
        </is>
      </c>
      <c r="E39" t="inlineStr"/>
    </row>
    <row r="40">
      <c r="A40" t="inlineStr">
        <is>
          <t>7000</t>
        </is>
      </c>
      <c r="B40" t="inlineStr">
        <is>
          <t>Depreciation Expense</t>
        </is>
      </c>
      <c r="C40" t="inlineStr">
        <is>
          <t>Expenses</t>
        </is>
      </c>
      <c r="D40" t="inlineStr">
        <is>
          <t>Depreciation</t>
        </is>
      </c>
      <c r="E40" t="inlineStr"/>
    </row>
    <row r="41">
      <c r="A41" t="inlineStr">
        <is>
          <t>7100</t>
        </is>
      </c>
      <c r="B41" t="inlineStr">
        <is>
          <t>Amortization Expense</t>
        </is>
      </c>
      <c r="C41" t="inlineStr">
        <is>
          <t>Expenses</t>
        </is>
      </c>
      <c r="D41" t="inlineStr">
        <is>
          <t>Amortization</t>
        </is>
      </c>
      <c r="E41" t="inlineStr"/>
    </row>
    <row r="42">
      <c r="A42" t="inlineStr">
        <is>
          <t>TOTAL</t>
        </is>
      </c>
      <c r="F42">
        <f>1445531.12</f>
        <v/>
      </c>
    </row>
    <row r="43"/>
    <row r="44">
      <c r="A44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