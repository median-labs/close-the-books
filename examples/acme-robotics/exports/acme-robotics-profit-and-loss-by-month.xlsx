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 by 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 by Month</t>
        </is>
      </c>
    </row>
    <row r="2">
      <c r="A2" t="inlineStr">
        <is>
          <t>Acme Robotics Inc.</t>
        </is>
      </c>
    </row>
    <row r="3">
      <c r="A3" t="inlineStr">
        <is>
          <t>January 1, 2025-February 28, 2026</t>
        </is>
      </c>
    </row>
    <row r="4"/>
    <row r="5">
      <c r="A5" t="inlineStr"/>
      <c r="B5" t="inlineStr">
        <is>
          <t>January 2025</t>
        </is>
      </c>
      <c r="C5" t="inlineStr">
        <is>
          <t>February 2025</t>
        </is>
      </c>
      <c r="D5" t="inlineStr">
        <is>
          <t>March 2025</t>
        </is>
      </c>
      <c r="E5" t="inlineStr">
        <is>
          <t>April 2025</t>
        </is>
      </c>
      <c r="F5" t="inlineStr">
        <is>
          <t>May 2025</t>
        </is>
      </c>
      <c r="G5" t="inlineStr">
        <is>
          <t>June 2025</t>
        </is>
      </c>
      <c r="H5" t="inlineStr">
        <is>
          <t>July 2025</t>
        </is>
      </c>
      <c r="I5" t="inlineStr">
        <is>
          <t>August 2025</t>
        </is>
      </c>
      <c r="J5" t="inlineStr">
        <is>
          <t>September 2025</t>
        </is>
      </c>
      <c r="K5" t="inlineStr">
        <is>
          <t>October 2025</t>
        </is>
      </c>
      <c r="L5" t="inlineStr">
        <is>
          <t>November 2025</t>
        </is>
      </c>
      <c r="M5" t="inlineStr">
        <is>
          <t>December 2025</t>
        </is>
      </c>
      <c r="N5" t="inlineStr">
        <is>
          <t>January 2026</t>
        </is>
      </c>
      <c r="O5" t="inlineStr">
        <is>
          <t>February 2026</t>
        </is>
      </c>
      <c r="P5" t="inlineStr">
        <is>
          <t>Total</t>
        </is>
      </c>
    </row>
    <row r="6">
      <c r="A6" t="inlineStr">
        <is>
          <t>Income</t>
        </is>
      </c>
    </row>
    <row r="7">
      <c r="A7" t="inlineStr">
        <is>
          <t>4000 Product Revenue</t>
        </is>
      </c>
      <c r="B7">
        <f>52610.33</f>
        <v/>
      </c>
      <c r="C7">
        <f>55858.10</f>
        <v/>
      </c>
      <c r="D7">
        <f>62592.75</f>
        <v/>
      </c>
      <c r="E7">
        <f>64994.74</f>
        <v/>
      </c>
      <c r="F7">
        <f>67122.56</f>
        <v/>
      </c>
      <c r="G7">
        <f>71992.74</f>
        <v/>
      </c>
      <c r="H7">
        <f>75019.80</f>
        <v/>
      </c>
      <c r="I7">
        <f>77648.55</f>
        <v/>
      </c>
      <c r="J7">
        <f>45946.26</f>
        <v/>
      </c>
      <c r="K7">
        <f>46582.55</f>
        <v/>
      </c>
      <c r="L7">
        <f>49219.43</f>
        <v/>
      </c>
      <c r="M7">
        <f>52357.19</f>
        <v/>
      </c>
      <c r="N7">
        <f>54392.03</f>
        <v/>
      </c>
      <c r="O7">
        <f>57271.54</f>
        <v/>
      </c>
      <c r="P7">
        <f>B7+C7+D7+E7+F7+G7+H7+I7+J7+K7+L7+M7+N7+O7</f>
        <v/>
      </c>
    </row>
    <row r="8">
      <c r="A8" t="inlineStr">
        <is>
          <t>4100 Service Revenue</t>
        </is>
      </c>
      <c r="B8">
        <f>6500.00</f>
        <v/>
      </c>
      <c r="C8">
        <f>6750.00</f>
        <v/>
      </c>
      <c r="D8">
        <f>7000.00</f>
        <v/>
      </c>
      <c r="E8">
        <f>7250.00</f>
        <v/>
      </c>
      <c r="F8">
        <f>7500.00</f>
        <v/>
      </c>
      <c r="G8">
        <f>7750.00</f>
        <v/>
      </c>
      <c r="H8">
        <f>8000.00</f>
        <v/>
      </c>
      <c r="I8">
        <f>8250.00</f>
        <v/>
      </c>
      <c r="J8">
        <f>8500.00</f>
        <v/>
      </c>
      <c r="K8">
        <f>8750.00</f>
        <v/>
      </c>
      <c r="L8">
        <f>9000.00</f>
        <v/>
      </c>
      <c r="M8">
        <f>9250.00</f>
        <v/>
      </c>
      <c r="N8">
        <f>9500.00</f>
        <v/>
      </c>
      <c r="O8">
        <f>9750.00</f>
        <v/>
      </c>
      <c r="P8">
        <f>B8+C8+D8+E8+F8+G8+H8+I8+J8+K8+L8+M8+N8+O8</f>
        <v/>
      </c>
    </row>
    <row r="9">
      <c r="A9" t="inlineStr">
        <is>
          <t>Total for Income</t>
        </is>
      </c>
      <c r="B9">
        <f>59110.33</f>
        <v/>
      </c>
      <c r="C9">
        <f>62608.10</f>
        <v/>
      </c>
      <c r="D9">
        <f>69592.75</f>
        <v/>
      </c>
      <c r="E9">
        <f>72244.74</f>
        <v/>
      </c>
      <c r="F9">
        <f>74622.56</f>
        <v/>
      </c>
      <c r="G9">
        <f>79742.74</f>
        <v/>
      </c>
      <c r="H9">
        <f>83019.80</f>
        <v/>
      </c>
      <c r="I9">
        <f>85898.55</f>
        <v/>
      </c>
      <c r="J9">
        <f>54446.26</f>
        <v/>
      </c>
      <c r="K9">
        <f>55332.55</f>
        <v/>
      </c>
      <c r="L9">
        <f>58219.43</f>
        <v/>
      </c>
      <c r="M9">
        <f>61607.19</f>
        <v/>
      </c>
      <c r="N9">
        <f>63892.03</f>
        <v/>
      </c>
      <c r="O9">
        <f>67021.54</f>
        <v/>
      </c>
      <c r="P9">
        <f>B9+C9+D9+E9+F9+G9+H9+I9+J9+K9+L9+M9+N9+O9</f>
        <v/>
      </c>
    </row>
    <row r="10"/>
    <row r="11">
      <c r="A11" t="inlineStr">
        <is>
          <t>Cost of Goods Sold</t>
        </is>
      </c>
    </row>
    <row r="12">
      <c r="A12" t="inlineStr">
        <is>
          <t>5000 Cost of Goods Sold - Components</t>
        </is>
      </c>
      <c r="B12">
        <f>9231.03</f>
        <v/>
      </c>
      <c r="C12">
        <f>11298.82</f>
        <v/>
      </c>
      <c r="D12">
        <f>10904.51</f>
        <v/>
      </c>
      <c r="E12">
        <f>12505.81</f>
        <v/>
      </c>
      <c r="F12">
        <f>11122.53</f>
        <v/>
      </c>
      <c r="G12">
        <f>12647.01</f>
        <v/>
      </c>
      <c r="H12">
        <f>15709.33</f>
        <v/>
      </c>
      <c r="I12">
        <f>20352.20</f>
        <v/>
      </c>
      <c r="J12">
        <f>18742.49</f>
        <v/>
      </c>
      <c r="K12">
        <f>14771.05</f>
        <v/>
      </c>
      <c r="L12">
        <f>15288.41</f>
        <v/>
      </c>
      <c r="M12">
        <f>15930.57</f>
        <v/>
      </c>
      <c r="N12">
        <f>16217.01</f>
        <v/>
      </c>
      <c r="O12">
        <f>17002.41</f>
        <v/>
      </c>
      <c r="P12">
        <f>B12+C12+D12+E12+F12+G12+H12+I12+J12+K12+L12+M12+N12+O12</f>
        <v/>
      </c>
    </row>
    <row r="13">
      <c r="A13" t="inlineStr">
        <is>
          <t>5100 Shipping and Freight</t>
        </is>
      </c>
      <c r="B13">
        <f>1527.03</f>
        <v/>
      </c>
      <c r="C13">
        <f>1603.60</f>
        <v/>
      </c>
      <c r="D13">
        <f>2744.76</f>
        <v/>
      </c>
      <c r="E13">
        <f>5326.49</f>
        <v/>
      </c>
      <c r="F13">
        <f>2731.23</f>
        <v/>
      </c>
      <c r="G13">
        <f>2882.00</f>
        <v/>
      </c>
      <c r="H13">
        <f>5500.80</f>
        <v/>
      </c>
      <c r="I13">
        <f>2463.80</f>
        <v/>
      </c>
      <c r="J13">
        <f>4141.79</f>
        <v/>
      </c>
      <c r="P13">
        <f>B13+C13+D13+E13+F13+G13+H13+I13+J13</f>
        <v/>
      </c>
    </row>
    <row r="14">
      <c r="A14" t="inlineStr">
        <is>
          <t>Total for Cost of Goods Sold</t>
        </is>
      </c>
      <c r="B14">
        <f>10758.06</f>
        <v/>
      </c>
      <c r="C14">
        <f>12902.42</f>
        <v/>
      </c>
      <c r="D14">
        <f>13649.27</f>
        <v/>
      </c>
      <c r="E14">
        <f>17832.30</f>
        <v/>
      </c>
      <c r="F14">
        <f>13853.76</f>
        <v/>
      </c>
      <c r="G14">
        <f>15529.01</f>
        <v/>
      </c>
      <c r="H14">
        <f>21210.13</f>
        <v/>
      </c>
      <c r="I14">
        <f>22816.00</f>
        <v/>
      </c>
      <c r="J14">
        <f>22884.28</f>
        <v/>
      </c>
      <c r="K14">
        <f>14771.05</f>
        <v/>
      </c>
      <c r="L14">
        <f>15288.41</f>
        <v/>
      </c>
      <c r="M14">
        <f>15930.57</f>
        <v/>
      </c>
      <c r="N14">
        <f>16217.01</f>
        <v/>
      </c>
      <c r="O14">
        <f>17002.41</f>
        <v/>
      </c>
      <c r="P14">
        <f>B14+C14+D14+E14+F14+G14+H14+I14+J14+K14+L14+M14+N14+O14</f>
        <v/>
      </c>
    </row>
    <row r="15"/>
    <row r="16">
      <c r="A16" t="inlineStr">
        <is>
          <t>Expenses</t>
        </is>
      </c>
    </row>
    <row r="17">
      <c r="A17" t="inlineStr">
        <is>
          <t>6000 Salaries and Wages</t>
        </is>
      </c>
      <c r="B17">
        <f>38000.00</f>
        <v/>
      </c>
      <c r="C17">
        <f>38900.00</f>
        <v/>
      </c>
      <c r="D17">
        <f>39800.00</f>
        <v/>
      </c>
      <c r="E17">
        <f>40700.00</f>
        <v/>
      </c>
      <c r="F17">
        <f>41600.00</f>
        <v/>
      </c>
      <c r="G17">
        <f>42500.00</f>
        <v/>
      </c>
      <c r="H17">
        <f>43400.00</f>
        <v/>
      </c>
      <c r="I17">
        <f>44300.00</f>
        <v/>
      </c>
      <c r="J17">
        <f>45200.00</f>
        <v/>
      </c>
      <c r="K17">
        <f>46100.00</f>
        <v/>
      </c>
      <c r="L17">
        <f>47000.00</f>
        <v/>
      </c>
      <c r="M17">
        <f>47900.00</f>
        <v/>
      </c>
      <c r="N17">
        <f>48800.00</f>
        <v/>
      </c>
      <c r="O17">
        <f>49700.00</f>
        <v/>
      </c>
      <c r="P17">
        <f>B17+C17+D17+E17+F17+G17+H17+I17+J17+K17+L17+M17+N17+O17</f>
        <v/>
      </c>
    </row>
    <row r="18">
      <c r="A18" t="inlineStr">
        <is>
          <t>6010 Payroll Taxes</t>
        </is>
      </c>
      <c r="B18">
        <f>2907.00</f>
        <v/>
      </c>
      <c r="C18">
        <f>2975.84</f>
        <v/>
      </c>
      <c r="D18">
        <f>3044.70</f>
        <v/>
      </c>
      <c r="E18">
        <f>3113.56</f>
        <v/>
      </c>
      <c r="F18">
        <f>3182.40</f>
        <v/>
      </c>
      <c r="G18">
        <f>3251.24</f>
        <v/>
      </c>
      <c r="H18">
        <f>3320.10</f>
        <v/>
      </c>
      <c r="I18">
        <f>3388.96</f>
        <v/>
      </c>
      <c r="J18">
        <f>3457.80</f>
        <v/>
      </c>
      <c r="K18">
        <f>3526.64</f>
        <v/>
      </c>
      <c r="L18">
        <f>3595.50</f>
        <v/>
      </c>
      <c r="M18">
        <f>3664.36</f>
        <v/>
      </c>
      <c r="N18">
        <f>3733.20</f>
        <v/>
      </c>
      <c r="O18">
        <f>3802.04</f>
        <v/>
      </c>
      <c r="P18">
        <f>B18+C18+D18+E18+F18+G18+H18+I18+J18+K18+L18+M18+N18+O18</f>
        <v/>
      </c>
    </row>
    <row r="19">
      <c r="A19" t="inlineStr">
        <is>
          <t>6100 Contract Engineering</t>
        </is>
      </c>
      <c r="B19">
        <f>9137.50</f>
        <v/>
      </c>
      <c r="C19">
        <f>7821.31</f>
        <v/>
      </c>
      <c r="D19">
        <f>10558.00</f>
        <v/>
      </c>
      <c r="E19">
        <f>7947.31</f>
        <v/>
      </c>
      <c r="F19">
        <f>14403.55</f>
        <v/>
      </c>
      <c r="G19">
        <f>12033.43</f>
        <v/>
      </c>
      <c r="H19">
        <f>11428.22</f>
        <v/>
      </c>
      <c r="I19">
        <f>15135.30</f>
        <v/>
      </c>
      <c r="J19">
        <f>15821.04</f>
        <v/>
      </c>
      <c r="P19">
        <f>B19+C19+D19+E19+F19+G19+H19+I19+J19</f>
        <v/>
      </c>
    </row>
    <row r="20">
      <c r="A20" t="inlineStr">
        <is>
          <t>6200 Software Subscriptions</t>
        </is>
      </c>
      <c r="B20">
        <f>105.26</f>
        <v/>
      </c>
      <c r="C20">
        <f>254.17</f>
        <v/>
      </c>
      <c r="D20">
        <f>855.09</f>
        <v/>
      </c>
      <c r="E20">
        <f>901.02</f>
        <v/>
      </c>
      <c r="F20">
        <f>800.00</f>
        <v/>
      </c>
      <c r="G20">
        <f>994.76</f>
        <v/>
      </c>
      <c r="H20">
        <f>1303.05</f>
        <v/>
      </c>
      <c r="I20">
        <f>800.00</f>
        <v/>
      </c>
      <c r="P20">
        <f>B20+C20+D20+E20+F20+G20+H20+I20</f>
        <v/>
      </c>
    </row>
    <row r="21">
      <c r="A21" t="inlineStr">
        <is>
          <t>6300 Cloud Hosting</t>
        </is>
      </c>
      <c r="B21">
        <f>2790.97</f>
        <v/>
      </c>
      <c r="C21">
        <f>2520.00</f>
        <v/>
      </c>
      <c r="D21">
        <f>5000.05</f>
        <v/>
      </c>
      <c r="E21">
        <f>2953.32</f>
        <v/>
      </c>
      <c r="F21">
        <f>5816.72</f>
        <v/>
      </c>
      <c r="G21">
        <f>4385.26</f>
        <v/>
      </c>
      <c r="H21">
        <f>6137.03</f>
        <v/>
      </c>
      <c r="P21">
        <f>B21+C21+D21+E21+F21+G21+H21</f>
        <v/>
      </c>
    </row>
    <row r="22">
      <c r="A22" t="inlineStr">
        <is>
          <t>6400 Rent</t>
        </is>
      </c>
      <c r="B22">
        <f>6500.00</f>
        <v/>
      </c>
      <c r="C22">
        <f>6500.00</f>
        <v/>
      </c>
      <c r="D22">
        <f>6500.00</f>
        <v/>
      </c>
      <c r="E22">
        <f>6500.00</f>
        <v/>
      </c>
      <c r="F22">
        <f>6500.00</f>
        <v/>
      </c>
      <c r="G22">
        <f>6500.00</f>
        <v/>
      </c>
      <c r="H22">
        <f>6500.00</f>
        <v/>
      </c>
      <c r="I22">
        <f>6500.00</f>
        <v/>
      </c>
      <c r="J22">
        <f>6500.00</f>
        <v/>
      </c>
      <c r="P22">
        <f>B22+C22+D22+E22+F22+G22+H22+I22+J22</f>
        <v/>
      </c>
    </row>
    <row r="23">
      <c r="A23" t="inlineStr">
        <is>
          <t>6500 Insurance</t>
        </is>
      </c>
      <c r="B23">
        <f>1200.00</f>
        <v/>
      </c>
      <c r="C23">
        <f>1200.00</f>
        <v/>
      </c>
      <c r="D23">
        <f>1200.00</f>
        <v/>
      </c>
      <c r="E23">
        <f>1200.00</f>
        <v/>
      </c>
      <c r="F23">
        <f>1200.00</f>
        <v/>
      </c>
      <c r="G23">
        <f>1200.00</f>
        <v/>
      </c>
      <c r="P23">
        <f>B23+C23+D23+E23+F23+G23</f>
        <v/>
      </c>
    </row>
    <row r="24">
      <c r="A24" t="inlineStr">
        <is>
          <t>6600 Marketing and Advertising</t>
        </is>
      </c>
      <c r="B24">
        <f>1138.72</f>
        <v/>
      </c>
      <c r="C24">
        <f>5575.64</f>
        <v/>
      </c>
      <c r="D24">
        <f>5513.90</f>
        <v/>
      </c>
      <c r="F24">
        <f>5574.51</f>
        <v/>
      </c>
      <c r="G24">
        <f>2464.97</f>
        <v/>
      </c>
      <c r="H24">
        <f>5235.33</f>
        <v/>
      </c>
      <c r="J24">
        <f>2095.45</f>
        <v/>
      </c>
      <c r="P24">
        <f>B24+C24+D24+F24+G24+H24+J24</f>
        <v/>
      </c>
    </row>
    <row r="25">
      <c r="A25" t="inlineStr">
        <is>
          <t>6700 Office Supplies</t>
        </is>
      </c>
      <c r="B25">
        <f>339.98</f>
        <v/>
      </c>
      <c r="C25">
        <f>324.36</f>
        <v/>
      </c>
      <c r="F25">
        <f>410.06</f>
        <v/>
      </c>
      <c r="H25">
        <f>634.73</f>
        <v/>
      </c>
      <c r="P25">
        <f>B25+C25+F25+H25</f>
        <v/>
      </c>
    </row>
    <row r="26">
      <c r="A26" t="inlineStr">
        <is>
          <t>6800 Professional Fees</t>
        </is>
      </c>
      <c r="B26">
        <f>1978.92</f>
        <v/>
      </c>
      <c r="C26">
        <f>3954.24</f>
        <v/>
      </c>
      <c r="D26">
        <f>2556.97</f>
        <v/>
      </c>
      <c r="E26">
        <f>8276.08</f>
        <v/>
      </c>
      <c r="F26">
        <f>7024.99</f>
        <v/>
      </c>
      <c r="G26">
        <f>15495.76</f>
        <v/>
      </c>
      <c r="H26">
        <f>4581.42</f>
        <v/>
      </c>
      <c r="I26">
        <f>3611.52</f>
        <v/>
      </c>
      <c r="J26">
        <f>6533.52</f>
        <v/>
      </c>
      <c r="P26">
        <f>B26+C26+D26+E26+F26+G26+H26+I26+J26</f>
        <v/>
      </c>
    </row>
    <row r="27">
      <c r="A27" t="inlineStr">
        <is>
          <t>6900 Travel and Meals</t>
        </is>
      </c>
      <c r="C27">
        <f>1678.01</f>
        <v/>
      </c>
      <c r="D27">
        <f>1033.08</f>
        <v/>
      </c>
      <c r="E27">
        <f>779.75</f>
        <v/>
      </c>
      <c r="F27">
        <f>1252.12</f>
        <v/>
      </c>
      <c r="G27">
        <f>1357.58</f>
        <v/>
      </c>
      <c r="H27">
        <f>99.56</f>
        <v/>
      </c>
      <c r="P27">
        <f>C27+D27+E27+F27+G27+H27</f>
        <v/>
      </c>
    </row>
    <row r="28">
      <c r="A28" t="inlineStr">
        <is>
          <t>6950 Bank and Processor Fees</t>
        </is>
      </c>
      <c r="B28">
        <f>733.98</f>
        <v/>
      </c>
      <c r="C28">
        <f>786.38</f>
        <v/>
      </c>
      <c r="D28">
        <f>863.25</f>
        <v/>
      </c>
      <c r="E28">
        <f>869.71</f>
        <v/>
      </c>
      <c r="F28">
        <f>909.61</f>
        <v/>
      </c>
      <c r="G28">
        <f>978.96</f>
        <v/>
      </c>
      <c r="H28">
        <f>1036.92</f>
        <v/>
      </c>
      <c r="I28">
        <f>1046.44</f>
        <v/>
      </c>
      <c r="J28">
        <f>357.44</f>
        <v/>
      </c>
      <c r="P28">
        <f>B28+C28+D28+E28+F28+G28+H28+I28+J28</f>
        <v/>
      </c>
    </row>
    <row r="29">
      <c r="A29" t="inlineStr">
        <is>
          <t>7000 Depreciation Expense</t>
        </is>
      </c>
      <c r="C29">
        <f>800.00</f>
        <v/>
      </c>
      <c r="D29">
        <f>800.00</f>
        <v/>
      </c>
      <c r="E29">
        <f>800.00</f>
        <v/>
      </c>
      <c r="F29">
        <f>800.00</f>
        <v/>
      </c>
      <c r="G29">
        <f>800.00</f>
        <v/>
      </c>
      <c r="H29">
        <f>800.00</f>
        <v/>
      </c>
      <c r="I29">
        <f>800.00</f>
        <v/>
      </c>
      <c r="J29">
        <f>800.00</f>
        <v/>
      </c>
      <c r="K29">
        <f>800.00</f>
        <v/>
      </c>
      <c r="L29">
        <f>800.00</f>
        <v/>
      </c>
      <c r="M29">
        <f>800.00</f>
        <v/>
      </c>
      <c r="N29">
        <f>800.00</f>
        <v/>
      </c>
      <c r="O29">
        <f>800.00</f>
        <v/>
      </c>
      <c r="P29">
        <f>C29+D29+E29+F29+G29+H29+I29+J29+K29+L29+M29+N29+O29</f>
        <v/>
      </c>
    </row>
    <row r="30">
      <c r="A30" t="inlineStr">
        <is>
          <t>7100 Amortization Expense</t>
        </is>
      </c>
      <c r="B30">
        <f>1000.00</f>
        <v/>
      </c>
      <c r="C30">
        <f>1000.00</f>
        <v/>
      </c>
      <c r="D30">
        <f>1000.00</f>
        <v/>
      </c>
      <c r="E30">
        <f>1000.00</f>
        <v/>
      </c>
      <c r="F30">
        <f>1000.00</f>
        <v/>
      </c>
      <c r="G30">
        <f>1000.00</f>
        <v/>
      </c>
      <c r="H30">
        <f>1000.00</f>
        <v/>
      </c>
      <c r="P30">
        <f>B30+C30+D30+E30+F30+G30+H30</f>
        <v/>
      </c>
    </row>
    <row r="31">
      <c r="A31" t="inlineStr">
        <is>
          <t>Total for Expenses</t>
        </is>
      </c>
      <c r="B31">
        <f>65832.33</f>
        <v/>
      </c>
      <c r="C31">
        <f>74289.95</f>
        <v/>
      </c>
      <c r="D31">
        <f>78725.04</f>
        <v/>
      </c>
      <c r="E31">
        <f>75040.75</f>
        <v/>
      </c>
      <c r="F31">
        <f>90473.96</f>
        <v/>
      </c>
      <c r="G31">
        <f>92961.96</f>
        <v/>
      </c>
      <c r="H31">
        <f>85476.36</f>
        <v/>
      </c>
      <c r="I31">
        <f>75582.22</f>
        <v/>
      </c>
      <c r="J31">
        <f>80765.25</f>
        <v/>
      </c>
      <c r="K31">
        <f>50426.64</f>
        <v/>
      </c>
      <c r="L31">
        <f>51395.50</f>
        <v/>
      </c>
      <c r="M31">
        <f>52364.36</f>
        <v/>
      </c>
      <c r="N31">
        <f>53333.20</f>
        <v/>
      </c>
      <c r="O31">
        <f>54302.04</f>
        <v/>
      </c>
      <c r="P31">
        <f>B31+C31+D31+E31+F31+G31+H31+I31+J31+K31+L31+M31+N31+O31</f>
        <v/>
      </c>
    </row>
    <row r="32"/>
    <row r="33">
      <c r="A33" t="inlineStr">
        <is>
          <t>Other Income</t>
        </is>
      </c>
    </row>
    <row r="34">
      <c r="A34" t="inlineStr">
        <is>
          <t>4900 Interest Income</t>
        </is>
      </c>
      <c r="B34">
        <f>2.00</f>
        <v/>
      </c>
      <c r="C34">
        <f>4.00</f>
        <v/>
      </c>
      <c r="D34">
        <f>6.00</f>
        <v/>
      </c>
      <c r="E34">
        <f>8.00</f>
        <v/>
      </c>
      <c r="F34">
        <f>10.01</f>
        <v/>
      </c>
      <c r="G34">
        <f>12.01</f>
        <v/>
      </c>
      <c r="H34">
        <f>14.02</f>
        <v/>
      </c>
      <c r="I34">
        <f>16.02</f>
        <v/>
      </c>
      <c r="J34">
        <f>18.03</f>
        <v/>
      </c>
      <c r="P34">
        <f>B34+C34+D34+E34+F34+G34+H34+I34+J34</f>
        <v/>
      </c>
    </row>
    <row r="35">
      <c r="A35" t="inlineStr">
        <is>
          <t>Total for Other Income</t>
        </is>
      </c>
      <c r="B35">
        <f>2.00</f>
        <v/>
      </c>
      <c r="C35">
        <f>4.00</f>
        <v/>
      </c>
      <c r="D35">
        <f>6.00</f>
        <v/>
      </c>
      <c r="E35">
        <f>8.00</f>
        <v/>
      </c>
      <c r="F35">
        <f>10.01</f>
        <v/>
      </c>
      <c r="G35">
        <f>12.01</f>
        <v/>
      </c>
      <c r="H35">
        <f>14.02</f>
        <v/>
      </c>
      <c r="I35">
        <f>16.02</f>
        <v/>
      </c>
      <c r="J35">
        <f>18.03</f>
        <v/>
      </c>
      <c r="P35">
        <f>B35+C35+D35+E35+F35+G35+H35+I35+J35</f>
        <v/>
      </c>
    </row>
    <row r="36"/>
    <row r="37">
      <c r="A37" t="inlineStr">
        <is>
          <t>Gross Profit</t>
        </is>
      </c>
      <c r="B37">
        <f>48352.27</f>
        <v/>
      </c>
      <c r="C37">
        <f>49705.68</f>
        <v/>
      </c>
      <c r="D37">
        <f>55943.48</f>
        <v/>
      </c>
      <c r="E37">
        <f>54412.44</f>
        <v/>
      </c>
      <c r="F37">
        <f>60768.80</f>
        <v/>
      </c>
      <c r="G37">
        <f>64213.73</f>
        <v/>
      </c>
      <c r="H37">
        <f>61809.67</f>
        <v/>
      </c>
      <c r="I37">
        <f>63082.55</f>
        <v/>
      </c>
      <c r="J37">
        <f>31561.98</f>
        <v/>
      </c>
      <c r="K37">
        <f>40561.50</f>
        <v/>
      </c>
      <c r="L37">
        <f>42931.02</f>
        <v/>
      </c>
      <c r="M37">
        <f>45676.62</f>
        <v/>
      </c>
      <c r="N37">
        <f>47675.02</f>
        <v/>
      </c>
      <c r="O37">
        <f>50019.13</f>
        <v/>
      </c>
      <c r="P37">
        <f>B37+C37+D37+E37+F37+G37+H37+I37+J37+K37+L37+M37+N37+O37</f>
        <v/>
      </c>
    </row>
    <row r="38">
      <c r="A38" t="inlineStr">
        <is>
          <t>Net Operating Income</t>
        </is>
      </c>
      <c r="B38">
        <f>-17480.06</f>
        <v/>
      </c>
      <c r="C38">
        <f>-24584.27</f>
        <v/>
      </c>
      <c r="D38">
        <f>-22781.56</f>
        <v/>
      </c>
      <c r="E38">
        <f>-20628.31</f>
        <v/>
      </c>
      <c r="F38">
        <f>-29705.16</f>
        <v/>
      </c>
      <c r="G38">
        <f>-28748.23</f>
        <v/>
      </c>
      <c r="H38">
        <f>-23666.69</f>
        <v/>
      </c>
      <c r="I38">
        <f>-12499.67</f>
        <v/>
      </c>
      <c r="J38">
        <f>-49203.27</f>
        <v/>
      </c>
      <c r="K38">
        <f>-9865.14</f>
        <v/>
      </c>
      <c r="L38">
        <f>-8464.48</f>
        <v/>
      </c>
      <c r="M38">
        <f>-6687.74</f>
        <v/>
      </c>
      <c r="N38">
        <f>-5658.18</f>
        <v/>
      </c>
      <c r="O38">
        <f>-4282.91</f>
        <v/>
      </c>
      <c r="P38">
        <f>B38+C38+D38+E38+F38+G38+H38+I38+J38+K38+L38+M38+N38+O38</f>
        <v/>
      </c>
    </row>
    <row r="39">
      <c r="A39" t="inlineStr">
        <is>
          <t>Net Income</t>
        </is>
      </c>
      <c r="B39">
        <f>-17478.06</f>
        <v/>
      </c>
      <c r="C39">
        <f>-24580.27</f>
        <v/>
      </c>
      <c r="D39">
        <f>-22775.56</f>
        <v/>
      </c>
      <c r="E39">
        <f>-20620.31</f>
        <v/>
      </c>
      <c r="F39">
        <f>-29695.15</f>
        <v/>
      </c>
      <c r="G39">
        <f>-28736.22</f>
        <v/>
      </c>
      <c r="H39">
        <f>-23652.67</f>
        <v/>
      </c>
      <c r="I39">
        <f>-12483.65</f>
        <v/>
      </c>
      <c r="J39">
        <f>-49185.24</f>
        <v/>
      </c>
      <c r="K39">
        <f>-9865.14</f>
        <v/>
      </c>
      <c r="L39">
        <f>-8464.48</f>
        <v/>
      </c>
      <c r="M39">
        <f>-6687.74</f>
        <v/>
      </c>
      <c r="N39">
        <f>-5658.18</f>
        <v/>
      </c>
      <c r="O39">
        <f>-4282.91</f>
        <v/>
      </c>
      <c r="P39">
        <f>B39+C39+D39+E39+F39+G39+H39+I39+J39+K39+L39+M39+N39+O39</f>
        <v/>
      </c>
    </row>
    <row r="40"/>
    <row r="41">
      <c r="A41" t="inlineStr">
        <is>
          <t>Accrual Basis Monday, March 02, 2026 08:03 PM GMT-8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2026-09-10T02:33:14Z</dcterms:created>
  <dcterms:modified xmlns:dcterms="http://purl.org/dc/terms/" xmlns:xsi="http://www.w3.org/2001/XMLSchema-instance" xsi:type="dcterms:W3CDTF">2026-09-10T02:33:14Z</dcterms:modified>
</cp:coreProperties>
</file>