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Ledger</t>
        </is>
      </c>
    </row>
    <row r="2">
      <c r="A2" t="inlineStr">
        <is>
          <t>Acme Robotics Inc.</t>
        </is>
      </c>
    </row>
    <row r="3">
      <c r="A3" t="inlineStr">
        <is>
          <t>January 1, 2026-February 28, 2026</t>
        </is>
      </c>
    </row>
    <row r="4"/>
    <row r="5">
      <c r="A5" t="inlineStr"/>
      <c r="B5" t="inlineStr">
        <is>
          <t>Transaction Date</t>
        </is>
      </c>
      <c r="C5" t="inlineStr">
        <is>
          <t>Transaction Type</t>
        </is>
      </c>
      <c r="D5" t="inlineStr">
        <is>
          <t>Num</t>
        </is>
      </c>
      <c r="E5" t="inlineStr">
        <is>
          <t>Name</t>
        </is>
      </c>
      <c r="F5" t="inlineStr">
        <is>
          <t>Memo/Description</t>
        </is>
      </c>
      <c r="G5" t="inlineStr">
        <is>
          <t>Distribution Account</t>
        </is>
      </c>
      <c r="H5" t="inlineStr">
        <is>
          <t>Split</t>
        </is>
      </c>
      <c r="I5" t="inlineStr">
        <is>
          <t>Amount</t>
        </is>
      </c>
      <c r="J5" t="inlineStr">
        <is>
          <t>Balance</t>
        </is>
      </c>
    </row>
    <row r="6">
      <c r="A6" t="inlineStr">
        <is>
          <t>1010 Northgate Checking 7742</t>
        </is>
      </c>
    </row>
    <row r="7">
      <c r="G7" t="inlineStr">
        <is>
          <t>Beginning Balance</t>
        </is>
      </c>
      <c r="J7">
        <f>337768.47</f>
        <v/>
      </c>
    </row>
    <row r="8">
      <c r="B8" t="inlineStr">
        <is>
          <t>01/15/2026</t>
        </is>
      </c>
      <c r="C8" t="inlineStr">
        <is>
          <t>Journal Entry</t>
        </is>
      </c>
      <c r="D8" t="inlineStr">
        <is>
          <t>JE-1052</t>
        </is>
      </c>
      <c r="E8" t="inlineStr">
        <is>
          <t>Proseware Payroll</t>
        </is>
      </c>
      <c r="F8" t="inlineStr">
        <is>
          <t>Proseware payroll debit 2026-01-15</t>
        </is>
      </c>
      <c r="H8" t="inlineStr">
        <is>
          <t>-Split-</t>
        </is>
      </c>
      <c r="I8">
        <f>-26266.60</f>
        <v/>
      </c>
      <c r="J8">
        <f>311501.87</f>
        <v/>
      </c>
    </row>
    <row r="9">
      <c r="B9" t="inlineStr">
        <is>
          <t>01/15/2026</t>
        </is>
      </c>
      <c r="C9" t="inlineStr">
        <is>
          <t>Journal Entry</t>
        </is>
      </c>
      <c r="D9" t="inlineStr">
        <is>
          <t>JE-1054</t>
        </is>
      </c>
      <c r="E9" t="inlineStr">
        <is>
          <t>Paylane</t>
        </is>
      </c>
      <c r="F9" t="inlineStr">
        <is>
          <t>Paylane payout 2026-01 #1</t>
        </is>
      </c>
      <c r="H9" t="inlineStr">
        <is>
          <t>1200 Paylane Clearing</t>
        </is>
      </c>
      <c r="I9">
        <f>22523.48</f>
        <v/>
      </c>
      <c r="J9">
        <f>334025.35</f>
        <v/>
      </c>
    </row>
    <row r="10">
      <c r="B10" t="inlineStr">
        <is>
          <t>01/31/2026</t>
        </is>
      </c>
      <c r="C10" t="inlineStr">
        <is>
          <t>Journal Entry</t>
        </is>
      </c>
      <c r="D10" t="inlineStr">
        <is>
          <t>JE-1053</t>
        </is>
      </c>
      <c r="E10" t="inlineStr">
        <is>
          <t>Proseware Payroll</t>
        </is>
      </c>
      <c r="F10" t="inlineStr">
        <is>
          <t>Proseware payroll debit 2026-01-31</t>
        </is>
      </c>
      <c r="H10" t="inlineStr">
        <is>
          <t>-Split-</t>
        </is>
      </c>
      <c r="I10">
        <f>-26266.60</f>
        <v/>
      </c>
      <c r="J10">
        <f>307758.75</f>
        <v/>
      </c>
    </row>
    <row r="11">
      <c r="B11" t="inlineStr">
        <is>
          <t>01/31/2026</t>
        </is>
      </c>
      <c r="C11" t="inlineStr">
        <is>
          <t>Journal Entry</t>
        </is>
      </c>
      <c r="D11" t="inlineStr">
        <is>
          <t>JE-1055</t>
        </is>
      </c>
      <c r="E11" t="inlineStr">
        <is>
          <t>Paylane</t>
        </is>
      </c>
      <c r="F11" t="inlineStr">
        <is>
          <t>Paylane payout 2026-01 #2</t>
        </is>
      </c>
      <c r="H11" t="inlineStr">
        <is>
          <t>1200 Paylane Clearing</t>
        </is>
      </c>
      <c r="I11">
        <f>18428.31</f>
        <v/>
      </c>
      <c r="J11">
        <f>326187.06</f>
        <v/>
      </c>
    </row>
    <row r="12">
      <c r="B12" t="inlineStr">
        <is>
          <t>02/15/2026</t>
        </is>
      </c>
      <c r="C12" t="inlineStr">
        <is>
          <t>Journal Entry</t>
        </is>
      </c>
      <c r="D12" t="inlineStr">
        <is>
          <t>JE-1057</t>
        </is>
      </c>
      <c r="E12" t="inlineStr">
        <is>
          <t>Proseware Payroll</t>
        </is>
      </c>
      <c r="F12" t="inlineStr">
        <is>
          <t>Proseware payroll debit 2026-02-15</t>
        </is>
      </c>
      <c r="H12" t="inlineStr">
        <is>
          <t>-Split-</t>
        </is>
      </c>
      <c r="I12">
        <f>-26751.02</f>
        <v/>
      </c>
      <c r="J12">
        <f>299436.04</f>
        <v/>
      </c>
    </row>
    <row r="13">
      <c r="B13" t="inlineStr">
        <is>
          <t>02/15/2026</t>
        </is>
      </c>
      <c r="C13" t="inlineStr">
        <is>
          <t>Journal Entry</t>
        </is>
      </c>
      <c r="D13" t="inlineStr">
        <is>
          <t>JE-1059</t>
        </is>
      </c>
      <c r="E13" t="inlineStr">
        <is>
          <t>Paylane</t>
        </is>
      </c>
      <c r="F13" t="inlineStr">
        <is>
          <t>Paylane payout 2026-02 #1</t>
        </is>
      </c>
      <c r="H13" t="inlineStr">
        <is>
          <t>1200 Paylane Clearing</t>
        </is>
      </c>
      <c r="I13">
        <f>23226.73</f>
        <v/>
      </c>
      <c r="J13">
        <f>322662.77</f>
        <v/>
      </c>
    </row>
    <row r="14">
      <c r="B14" t="inlineStr">
        <is>
          <t>02/28/2026</t>
        </is>
      </c>
      <c r="C14" t="inlineStr">
        <is>
          <t>Journal Entry</t>
        </is>
      </c>
      <c r="D14" t="inlineStr">
        <is>
          <t>JE-1058</t>
        </is>
      </c>
      <c r="E14" t="inlineStr">
        <is>
          <t>Proseware Payroll</t>
        </is>
      </c>
      <c r="F14" t="inlineStr">
        <is>
          <t>Proseware payroll debit 2026-02-28</t>
        </is>
      </c>
      <c r="H14" t="inlineStr">
        <is>
          <t>-Split-</t>
        </is>
      </c>
      <c r="I14">
        <f>-26751.02</f>
        <v/>
      </c>
      <c r="J14">
        <f>295911.75</f>
        <v/>
      </c>
    </row>
    <row r="15">
      <c r="B15" t="inlineStr">
        <is>
          <t>02/28/2026</t>
        </is>
      </c>
      <c r="C15" t="inlineStr">
        <is>
          <t>Journal Entry</t>
        </is>
      </c>
      <c r="D15" t="inlineStr">
        <is>
          <t>JE-1060</t>
        </is>
      </c>
      <c r="E15" t="inlineStr">
        <is>
          <t>Paylane</t>
        </is>
      </c>
      <c r="F15" t="inlineStr">
        <is>
          <t>Paylane payout 2026-02 #2</t>
        </is>
      </c>
      <c r="H15" t="inlineStr">
        <is>
          <t>1200 Paylane Clearing</t>
        </is>
      </c>
      <c r="I15">
        <f>19003.69</f>
        <v/>
      </c>
      <c r="J15">
        <f>314915.44</f>
        <v/>
      </c>
    </row>
    <row r="16">
      <c r="A16" t="inlineStr">
        <is>
          <t>Total for 1010 Northgate Checking 7742</t>
        </is>
      </c>
      <c r="I16">
        <f>-22853.03</f>
        <v/>
      </c>
    </row>
    <row r="17"/>
    <row r="18">
      <c r="A18" t="inlineStr">
        <is>
          <t>1020 Northgate Savings 7809</t>
        </is>
      </c>
    </row>
    <row r="19">
      <c r="G19" t="inlineStr">
        <is>
          <t>Beginning Balance</t>
        </is>
      </c>
      <c r="J19">
        <f>45090.09</f>
        <v/>
      </c>
    </row>
    <row r="20">
      <c r="A20" t="inlineStr">
        <is>
          <t>Total for 1020 Northgate Savings 7809</t>
        </is>
      </c>
      <c r="I20">
        <f>0.00</f>
        <v/>
      </c>
    </row>
    <row r="21"/>
    <row r="22">
      <c r="A22" t="inlineStr">
        <is>
          <t>1100 Accounts Receivable</t>
        </is>
      </c>
    </row>
    <row r="23">
      <c r="G23" t="inlineStr">
        <is>
          <t>Beginning Balance</t>
        </is>
      </c>
      <c r="J23">
        <f>229605.43</f>
        <v/>
      </c>
    </row>
    <row r="24">
      <c r="B24" t="inlineStr">
        <is>
          <t>01/10/2026</t>
        </is>
      </c>
      <c r="C24" t="inlineStr">
        <is>
          <t>Invoice</t>
        </is>
      </c>
      <c r="D24" t="inlineStr">
        <is>
          <t>INV-1024</t>
        </is>
      </c>
      <c r="E24" t="inlineStr">
        <is>
          <t>Volt Dynamics Inc</t>
        </is>
      </c>
      <c r="F24" t="inlineStr">
        <is>
          <t>INV-1024 robot cell</t>
        </is>
      </c>
      <c r="H24" t="inlineStr">
        <is>
          <t>4000 Product Revenue</t>
        </is>
      </c>
      <c r="I24">
        <f>54392.03</f>
        <v/>
      </c>
      <c r="J24">
        <f>283997.46</f>
        <v/>
      </c>
    </row>
    <row r="25">
      <c r="B25" t="inlineStr">
        <is>
          <t>01/10/2026</t>
        </is>
      </c>
      <c r="C25" t="inlineStr">
        <is>
          <t>Invoice</t>
        </is>
      </c>
      <c r="D25" t="inlineStr">
        <is>
          <t>INV-1025</t>
        </is>
      </c>
      <c r="E25" t="inlineStr">
        <is>
          <t>Volt Dynamics Inc</t>
        </is>
      </c>
      <c r="F25" t="inlineStr">
        <is>
          <t>INV-1025 support plan</t>
        </is>
      </c>
      <c r="H25" t="inlineStr">
        <is>
          <t>4100 Service Revenue</t>
        </is>
      </c>
      <c r="I25">
        <f>9500.00</f>
        <v/>
      </c>
      <c r="J25">
        <f>293497.46</f>
        <v/>
      </c>
    </row>
    <row r="26">
      <c r="B26" t="inlineStr">
        <is>
          <t>02/10/2026</t>
        </is>
      </c>
      <c r="C26" t="inlineStr">
        <is>
          <t>Invoice</t>
        </is>
      </c>
      <c r="D26" t="inlineStr">
        <is>
          <t>INV-1026</t>
        </is>
      </c>
      <c r="E26" t="inlineStr">
        <is>
          <t>Helios Manufacturing LLC</t>
        </is>
      </c>
      <c r="F26" t="inlineStr">
        <is>
          <t>INV-1026 robot cell</t>
        </is>
      </c>
      <c r="H26" t="inlineStr">
        <is>
          <t>4000 Product Revenue</t>
        </is>
      </c>
      <c r="I26">
        <f>57271.54</f>
        <v/>
      </c>
      <c r="J26">
        <f>350769.00</f>
        <v/>
      </c>
    </row>
    <row r="27">
      <c r="B27" t="inlineStr">
        <is>
          <t>02/10/2026</t>
        </is>
      </c>
      <c r="C27" t="inlineStr">
        <is>
          <t>Invoice</t>
        </is>
      </c>
      <c r="D27" t="inlineStr">
        <is>
          <t>INV-1027</t>
        </is>
      </c>
      <c r="E27" t="inlineStr">
        <is>
          <t>Helios Manufacturing LLC</t>
        </is>
      </c>
      <c r="F27" t="inlineStr">
        <is>
          <t>INV-1027 support plan</t>
        </is>
      </c>
      <c r="H27" t="inlineStr">
        <is>
          <t>4100 Service Revenue</t>
        </is>
      </c>
      <c r="I27">
        <f>9750.00</f>
        <v/>
      </c>
      <c r="J27">
        <f>360519.00</f>
        <v/>
      </c>
    </row>
    <row r="28">
      <c r="A28" t="inlineStr">
        <is>
          <t>Total for 1100 Accounts Receivable</t>
        </is>
      </c>
      <c r="I28">
        <f>130913.57</f>
        <v/>
      </c>
    </row>
    <row r="29"/>
    <row r="30">
      <c r="A30" t="inlineStr">
        <is>
          <t>1200 Paylane Clearing</t>
        </is>
      </c>
    </row>
    <row r="31">
      <c r="G31" t="inlineStr">
        <is>
          <t>Beginning Balance</t>
        </is>
      </c>
      <c r="J31">
        <f>-149259.55</f>
        <v/>
      </c>
    </row>
    <row r="32">
      <c r="B32" t="inlineStr">
        <is>
          <t>01/15/2026</t>
        </is>
      </c>
      <c r="C32" t="inlineStr">
        <is>
          <t>Journal Entry</t>
        </is>
      </c>
      <c r="D32" t="inlineStr">
        <is>
          <t>JE-1054</t>
        </is>
      </c>
      <c r="E32" t="inlineStr">
        <is>
          <t>Paylane</t>
        </is>
      </c>
      <c r="F32" t="inlineStr">
        <is>
          <t>Paylane payout 2026-01 #1</t>
        </is>
      </c>
      <c r="H32" t="inlineStr">
        <is>
          <t>1010 Northgate Checking 7742</t>
        </is>
      </c>
      <c r="I32">
        <f>-22523.48</f>
        <v/>
      </c>
      <c r="J32">
        <f>-171783.03</f>
        <v/>
      </c>
    </row>
    <row r="33">
      <c r="B33" t="inlineStr">
        <is>
          <t>01/31/2026</t>
        </is>
      </c>
      <c r="C33" t="inlineStr">
        <is>
          <t>Journal Entry</t>
        </is>
      </c>
      <c r="D33" t="inlineStr">
        <is>
          <t>JE-1055</t>
        </is>
      </c>
      <c r="E33" t="inlineStr">
        <is>
          <t>Paylane</t>
        </is>
      </c>
      <c r="F33" t="inlineStr">
        <is>
          <t>Paylane payout 2026-01 #2</t>
        </is>
      </c>
      <c r="H33" t="inlineStr">
        <is>
          <t>1010 Northgate Checking 7742</t>
        </is>
      </c>
      <c r="I33">
        <f>-18428.31</f>
        <v/>
      </c>
      <c r="J33">
        <f>-190211.34</f>
        <v/>
      </c>
    </row>
    <row r="34">
      <c r="B34" t="inlineStr">
        <is>
          <t>02/15/2026</t>
        </is>
      </c>
      <c r="C34" t="inlineStr">
        <is>
          <t>Journal Entry</t>
        </is>
      </c>
      <c r="D34" t="inlineStr">
        <is>
          <t>JE-1059</t>
        </is>
      </c>
      <c r="E34" t="inlineStr">
        <is>
          <t>Paylane</t>
        </is>
      </c>
      <c r="F34" t="inlineStr">
        <is>
          <t>Paylane payout 2026-02 #1</t>
        </is>
      </c>
      <c r="H34" t="inlineStr">
        <is>
          <t>1010 Northgate Checking 7742</t>
        </is>
      </c>
      <c r="I34">
        <f>-23226.73</f>
        <v/>
      </c>
      <c r="J34">
        <f>-213438.07</f>
        <v/>
      </c>
    </row>
    <row r="35">
      <c r="B35" t="inlineStr">
        <is>
          <t>02/28/2026</t>
        </is>
      </c>
      <c r="C35" t="inlineStr">
        <is>
          <t>Journal Entry</t>
        </is>
      </c>
      <c r="D35" t="inlineStr">
        <is>
          <t>JE-1060</t>
        </is>
      </c>
      <c r="E35" t="inlineStr">
        <is>
          <t>Paylane</t>
        </is>
      </c>
      <c r="F35" t="inlineStr">
        <is>
          <t>Paylane payout 2026-02 #2</t>
        </is>
      </c>
      <c r="H35" t="inlineStr">
        <is>
          <t>1010 Northgate Checking 7742</t>
        </is>
      </c>
      <c r="I35">
        <f>-19003.69</f>
        <v/>
      </c>
      <c r="J35">
        <f>-232441.76</f>
        <v/>
      </c>
    </row>
    <row r="36">
      <c r="A36" t="inlineStr">
        <is>
          <t>Total for 1200 Paylane Clearing</t>
        </is>
      </c>
      <c r="I36">
        <f>-83182.21</f>
        <v/>
      </c>
    </row>
    <row r="37"/>
    <row r="38">
      <c r="A38" t="inlineStr">
        <is>
          <t>1300 Prepaid Insurance</t>
        </is>
      </c>
    </row>
    <row r="39">
      <c r="G39" t="inlineStr">
        <is>
          <t>Beginning Balance</t>
        </is>
      </c>
      <c r="J39">
        <f>7200.00</f>
        <v/>
      </c>
    </row>
    <row r="40">
      <c r="A40" t="inlineStr">
        <is>
          <t>Total for 1300 Prepaid Insurance</t>
        </is>
      </c>
      <c r="I40">
        <f>0.00</f>
        <v/>
      </c>
    </row>
    <row r="41"/>
    <row r="42">
      <c r="A42" t="inlineStr">
        <is>
          <t>1310 Prepaid Software</t>
        </is>
      </c>
    </row>
    <row r="43">
      <c r="G43" t="inlineStr">
        <is>
          <t>Beginning Balance</t>
        </is>
      </c>
      <c r="J43">
        <f>4800.00</f>
        <v/>
      </c>
    </row>
    <row r="44">
      <c r="A44" t="inlineStr">
        <is>
          <t>Total for 1310 Prepaid Software</t>
        </is>
      </c>
      <c r="I44">
        <f>0.00</f>
        <v/>
      </c>
    </row>
    <row r="45"/>
    <row r="46">
      <c r="A46" t="inlineStr">
        <is>
          <t>1500 Machinery and Equipment</t>
        </is>
      </c>
    </row>
    <row r="47">
      <c r="G47" t="inlineStr">
        <is>
          <t>Beginning Balance</t>
        </is>
      </c>
      <c r="J47">
        <f>48000.00</f>
        <v/>
      </c>
    </row>
    <row r="48">
      <c r="A48" t="inlineStr">
        <is>
          <t>Total for 1500 Machinery and Equipment</t>
        </is>
      </c>
      <c r="I48">
        <f>0.00</f>
        <v/>
      </c>
    </row>
    <row r="49"/>
    <row r="50">
      <c r="A50" t="inlineStr">
        <is>
          <t>1510 Accumulated Depreciation</t>
        </is>
      </c>
    </row>
    <row r="51">
      <c r="G51" t="inlineStr">
        <is>
          <t>Beginning Balance</t>
        </is>
      </c>
      <c r="J51">
        <f>-8800.00</f>
        <v/>
      </c>
    </row>
    <row r="52">
      <c r="B52" t="inlineStr">
        <is>
          <t>01/31/2026</t>
        </is>
      </c>
      <c r="C52" t="inlineStr">
        <is>
          <t>Journal Entry</t>
        </is>
      </c>
      <c r="D52" t="inlineStr">
        <is>
          <t>JE-1056</t>
        </is>
      </c>
      <c r="E52" t="inlineStr"/>
      <c r="F52" t="inlineStr">
        <is>
          <t>Depreciation 2026-01</t>
        </is>
      </c>
      <c r="H52" t="inlineStr">
        <is>
          <t>7000 Depreciation Expense</t>
        </is>
      </c>
      <c r="I52">
        <f>-800.00</f>
        <v/>
      </c>
      <c r="J52">
        <f>-9600.00</f>
        <v/>
      </c>
    </row>
    <row r="53">
      <c r="B53" t="inlineStr">
        <is>
          <t>02/28/2026</t>
        </is>
      </c>
      <c r="C53" t="inlineStr">
        <is>
          <t>Journal Entry</t>
        </is>
      </c>
      <c r="D53" t="inlineStr">
        <is>
          <t>JE-1061</t>
        </is>
      </c>
      <c r="E53" t="inlineStr"/>
      <c r="F53" t="inlineStr">
        <is>
          <t>Depreciation 2026-02</t>
        </is>
      </c>
      <c r="H53" t="inlineStr">
        <is>
          <t>7000 Depreciation Expense</t>
        </is>
      </c>
      <c r="I53">
        <f>-800.00</f>
        <v/>
      </c>
      <c r="J53">
        <f>-10400.00</f>
        <v/>
      </c>
    </row>
    <row r="54">
      <c r="A54" t="inlineStr">
        <is>
          <t>Total for 1510 Accumulated Depreciation</t>
        </is>
      </c>
      <c r="I54">
        <f>-1600.00</f>
        <v/>
      </c>
    </row>
    <row r="55"/>
    <row r="56">
      <c r="A56" t="inlineStr">
        <is>
          <t>1600 Intangible Assets - Design License</t>
        </is>
      </c>
    </row>
    <row r="57">
      <c r="G57" t="inlineStr">
        <is>
          <t>Beginning Balance</t>
        </is>
      </c>
      <c r="J57">
        <f>60000.00</f>
        <v/>
      </c>
    </row>
    <row r="58">
      <c r="A58" t="inlineStr">
        <is>
          <t>Total for 1600 Intangible Assets - Design License</t>
        </is>
      </c>
      <c r="I58">
        <f>0.00</f>
        <v/>
      </c>
    </row>
    <row r="59"/>
    <row r="60">
      <c r="A60" t="inlineStr">
        <is>
          <t>1610 Accumulated Amortization - Design License</t>
        </is>
      </c>
    </row>
    <row r="61">
      <c r="G61" t="inlineStr">
        <is>
          <t>Beginning Balance</t>
        </is>
      </c>
      <c r="J61">
        <f>-7000.00</f>
        <v/>
      </c>
    </row>
    <row r="62">
      <c r="A62" t="inlineStr">
        <is>
          <t>Total for 1610 Accumulated Amortization - Design License</t>
        </is>
      </c>
      <c r="I62">
        <f>0.00</f>
        <v/>
      </c>
    </row>
    <row r="63"/>
    <row r="64">
      <c r="A64" t="inlineStr">
        <is>
          <t>2010 Accounts Payable</t>
        </is>
      </c>
    </row>
    <row r="65">
      <c r="G65" t="inlineStr">
        <is>
          <t>Beginning Balance</t>
        </is>
      </c>
      <c r="J65">
        <f>59794.60</f>
        <v/>
      </c>
    </row>
    <row r="66">
      <c r="B66" t="inlineStr">
        <is>
          <t>01/20/2026</t>
        </is>
      </c>
      <c r="C66" t="inlineStr">
        <is>
          <t>Bill</t>
        </is>
      </c>
      <c r="D66" t="inlineStr">
        <is>
          <t>NWS-4412</t>
        </is>
      </c>
      <c r="E66" t="inlineStr">
        <is>
          <t>Northwind Supply</t>
        </is>
      </c>
      <c r="F66" t="inlineStr">
        <is>
          <t>NWS-4412 components</t>
        </is>
      </c>
      <c r="H66" t="inlineStr">
        <is>
          <t>5000 Cost of Goods Sold - Components</t>
        </is>
      </c>
      <c r="I66">
        <f>16217.01</f>
        <v/>
      </c>
      <c r="J66">
        <f>76011.61</f>
        <v/>
      </c>
    </row>
    <row r="67">
      <c r="B67" t="inlineStr">
        <is>
          <t>02/20/2026</t>
        </is>
      </c>
      <c r="C67" t="inlineStr">
        <is>
          <t>Bill</t>
        </is>
      </c>
      <c r="D67" t="inlineStr">
        <is>
          <t>NWS-4413</t>
        </is>
      </c>
      <c r="E67" t="inlineStr">
        <is>
          <t>Northwind Supply</t>
        </is>
      </c>
      <c r="F67" t="inlineStr">
        <is>
          <t>NWS-4413 components</t>
        </is>
      </c>
      <c r="H67" t="inlineStr">
        <is>
          <t>5000 Cost of Goods Sold - Components</t>
        </is>
      </c>
      <c r="I67">
        <f>17002.41</f>
        <v/>
      </c>
      <c r="J67">
        <f>93014.02</f>
        <v/>
      </c>
    </row>
    <row r="68">
      <c r="A68" t="inlineStr">
        <is>
          <t>Total for 2010 Accounts Payable</t>
        </is>
      </c>
      <c r="I68">
        <f>33219.42</f>
        <v/>
      </c>
    </row>
    <row r="69"/>
    <row r="70">
      <c r="A70" t="inlineStr">
        <is>
          <t>2100 Vantage Card 3391</t>
        </is>
      </c>
    </row>
    <row r="71">
      <c r="G71" t="inlineStr">
        <is>
          <t>Beginning Balance</t>
        </is>
      </c>
      <c r="J71">
        <f>-41385.93</f>
        <v/>
      </c>
    </row>
    <row r="72">
      <c r="A72" t="inlineStr">
        <is>
          <t>Total for 2100 Vantage Card 3391</t>
        </is>
      </c>
      <c r="I72">
        <f>0.00</f>
        <v/>
      </c>
    </row>
    <row r="73"/>
    <row r="74">
      <c r="A74" t="inlineStr">
        <is>
          <t>Vantage Credit Card 3391</t>
        </is>
      </c>
    </row>
    <row r="75">
      <c r="G75" t="inlineStr">
        <is>
          <t>Beginning Balance</t>
        </is>
      </c>
      <c r="J75">
        <f>32402.91</f>
        <v/>
      </c>
    </row>
    <row r="76">
      <c r="A76" t="inlineStr">
        <is>
          <t>Total for Vantage Credit Card 3391</t>
        </is>
      </c>
      <c r="I76">
        <f>0.00</f>
        <v/>
      </c>
    </row>
    <row r="77"/>
    <row r="78">
      <c r="A78" t="inlineStr">
        <is>
          <t>3000 Common Stock</t>
        </is>
      </c>
    </row>
    <row r="79">
      <c r="G79" t="inlineStr">
        <is>
          <t>Beginning Balance</t>
        </is>
      </c>
      <c r="J79">
        <f>1000.00</f>
        <v/>
      </c>
    </row>
    <row r="80">
      <c r="A80" t="inlineStr">
        <is>
          <t>Total for 3000 Common Stock</t>
        </is>
      </c>
      <c r="I80">
        <f>0.00</f>
        <v/>
      </c>
    </row>
    <row r="81"/>
    <row r="82">
      <c r="A82" t="inlineStr">
        <is>
          <t>3100 Additional Paid-In Capital</t>
        </is>
      </c>
    </row>
    <row r="83">
      <c r="G83" t="inlineStr">
        <is>
          <t>Beginning Balance</t>
        </is>
      </c>
      <c r="J83">
        <f>24000.00</f>
        <v/>
      </c>
    </row>
    <row r="84">
      <c r="A84" t="inlineStr">
        <is>
          <t>Total for 3100 Additional Paid-In Capital</t>
        </is>
      </c>
      <c r="I84">
        <f>0.00</f>
        <v/>
      </c>
    </row>
    <row r="85"/>
    <row r="86">
      <c r="A86" t="inlineStr">
        <is>
          <t>3200 Opening Balance Equity</t>
        </is>
      </c>
    </row>
    <row r="87">
      <c r="G87" t="inlineStr">
        <is>
          <t>Beginning Balance</t>
        </is>
      </c>
      <c r="J87">
        <f>-4182.65</f>
        <v/>
      </c>
    </row>
    <row r="88">
      <c r="A88" t="inlineStr">
        <is>
          <t>Total for 3200 Opening Balance Equity</t>
        </is>
      </c>
      <c r="I88">
        <f>0.00</f>
        <v/>
      </c>
    </row>
    <row r="89"/>
    <row r="90">
      <c r="A90" t="inlineStr">
        <is>
          <t>3300 SAFE - Simple Agreement for Future Equity</t>
        </is>
      </c>
    </row>
    <row r="91">
      <c r="G91" t="inlineStr">
        <is>
          <t>Beginning Balance</t>
        </is>
      </c>
      <c r="J91">
        <f>750000.00</f>
        <v/>
      </c>
    </row>
    <row r="92">
      <c r="A92" t="inlineStr">
        <is>
          <t>Total for 3300 SAFE - Simple Agreement for Future Equity</t>
        </is>
      </c>
      <c r="I92">
        <f>0.00</f>
        <v/>
      </c>
    </row>
    <row r="93"/>
    <row r="94">
      <c r="A94" t="inlineStr">
        <is>
          <t>4000 Product Revenue</t>
        </is>
      </c>
    </row>
    <row r="95">
      <c r="G95" t="inlineStr">
        <is>
          <t>Beginning Balance</t>
        </is>
      </c>
      <c r="J95">
        <f>721945.00</f>
        <v/>
      </c>
    </row>
    <row r="96">
      <c r="B96" t="inlineStr">
        <is>
          <t>01/10/2026</t>
        </is>
      </c>
      <c r="C96" t="inlineStr">
        <is>
          <t>Invoice</t>
        </is>
      </c>
      <c r="D96" t="inlineStr">
        <is>
          <t>INV-1024</t>
        </is>
      </c>
      <c r="E96" t="inlineStr">
        <is>
          <t>Volt Dynamics Inc</t>
        </is>
      </c>
      <c r="F96" t="inlineStr">
        <is>
          <t>INV-1024 robot cell</t>
        </is>
      </c>
      <c r="H96" t="inlineStr">
        <is>
          <t>1100 Accounts Receivable</t>
        </is>
      </c>
      <c r="I96">
        <f>54392.03</f>
        <v/>
      </c>
      <c r="J96">
        <f>776337.03</f>
        <v/>
      </c>
    </row>
    <row r="97">
      <c r="B97" t="inlineStr">
        <is>
          <t>02/10/2026</t>
        </is>
      </c>
      <c r="C97" t="inlineStr">
        <is>
          <t>Invoice</t>
        </is>
      </c>
      <c r="D97" t="inlineStr">
        <is>
          <t>INV-1026</t>
        </is>
      </c>
      <c r="E97" t="inlineStr">
        <is>
          <t>Helios Manufacturing LLC</t>
        </is>
      </c>
      <c r="F97" t="inlineStr">
        <is>
          <t>INV-1026 robot cell</t>
        </is>
      </c>
      <c r="H97" t="inlineStr">
        <is>
          <t>1100 Accounts Receivable</t>
        </is>
      </c>
      <c r="I97">
        <f>57271.54</f>
        <v/>
      </c>
      <c r="J97">
        <f>833608.57</f>
        <v/>
      </c>
    </row>
    <row r="98">
      <c r="A98" t="inlineStr">
        <is>
          <t>Total for 4000 Product Revenue</t>
        </is>
      </c>
      <c r="I98">
        <f>111663.57</f>
        <v/>
      </c>
    </row>
    <row r="99"/>
    <row r="100">
      <c r="A100" t="inlineStr">
        <is>
          <t>4100 Service Revenue</t>
        </is>
      </c>
    </row>
    <row r="101">
      <c r="G101" t="inlineStr">
        <is>
          <t>Beginning Balance</t>
        </is>
      </c>
      <c r="J101">
        <f>94500.00</f>
        <v/>
      </c>
    </row>
    <row r="102">
      <c r="B102" t="inlineStr">
        <is>
          <t>01/10/2026</t>
        </is>
      </c>
      <c r="C102" t="inlineStr">
        <is>
          <t>Invoice</t>
        </is>
      </c>
      <c r="D102" t="inlineStr">
        <is>
          <t>INV-1025</t>
        </is>
      </c>
      <c r="E102" t="inlineStr">
        <is>
          <t>Volt Dynamics Inc</t>
        </is>
      </c>
      <c r="F102" t="inlineStr">
        <is>
          <t>INV-1025 support plan</t>
        </is>
      </c>
      <c r="H102" t="inlineStr">
        <is>
          <t>1100 Accounts Receivable</t>
        </is>
      </c>
      <c r="I102">
        <f>9500.00</f>
        <v/>
      </c>
      <c r="J102">
        <f>104000.00</f>
        <v/>
      </c>
    </row>
    <row r="103">
      <c r="B103" t="inlineStr">
        <is>
          <t>02/10/2026</t>
        </is>
      </c>
      <c r="C103" t="inlineStr">
        <is>
          <t>Invoice</t>
        </is>
      </c>
      <c r="D103" t="inlineStr">
        <is>
          <t>INV-1027</t>
        </is>
      </c>
      <c r="E103" t="inlineStr">
        <is>
          <t>Helios Manufacturing LLC</t>
        </is>
      </c>
      <c r="F103" t="inlineStr">
        <is>
          <t>INV-1027 support plan</t>
        </is>
      </c>
      <c r="H103" t="inlineStr">
        <is>
          <t>1100 Accounts Receivable</t>
        </is>
      </c>
      <c r="I103">
        <f>9750.00</f>
        <v/>
      </c>
      <c r="J103">
        <f>113750.00</f>
        <v/>
      </c>
    </row>
    <row r="104">
      <c r="A104" t="inlineStr">
        <is>
          <t>Total for 4100 Service Revenue</t>
        </is>
      </c>
      <c r="I104">
        <f>19250.00</f>
        <v/>
      </c>
    </row>
    <row r="105"/>
    <row r="106">
      <c r="A106" t="inlineStr">
        <is>
          <t>4900 Interest Income</t>
        </is>
      </c>
    </row>
    <row r="107">
      <c r="G107" t="inlineStr">
        <is>
          <t>Beginning Balance</t>
        </is>
      </c>
      <c r="J107">
        <f>90.09</f>
        <v/>
      </c>
    </row>
    <row r="108">
      <c r="A108" t="inlineStr">
        <is>
          <t>Total for 4900 Interest Income</t>
        </is>
      </c>
      <c r="I108">
        <f>0.00</f>
        <v/>
      </c>
    </row>
    <row r="109"/>
    <row r="110">
      <c r="A110" t="inlineStr">
        <is>
          <t>5000 Cost of Goods Sold - Components</t>
        </is>
      </c>
    </row>
    <row r="111">
      <c r="G111" t="inlineStr">
        <is>
          <t>Beginning Balance</t>
        </is>
      </c>
      <c r="J111">
        <f>168503.76</f>
        <v/>
      </c>
    </row>
    <row r="112">
      <c r="B112" t="inlineStr">
        <is>
          <t>01/20/2026</t>
        </is>
      </c>
      <c r="C112" t="inlineStr">
        <is>
          <t>Bill</t>
        </is>
      </c>
      <c r="D112" t="inlineStr">
        <is>
          <t>NWS-4412</t>
        </is>
      </c>
      <c r="E112" t="inlineStr">
        <is>
          <t>Northwind Supply</t>
        </is>
      </c>
      <c r="F112" t="inlineStr">
        <is>
          <t>NWS-4412 components</t>
        </is>
      </c>
      <c r="H112" t="inlineStr">
        <is>
          <t>2010 Accounts Payable</t>
        </is>
      </c>
      <c r="I112">
        <f>16217.01</f>
        <v/>
      </c>
      <c r="J112">
        <f>184720.77</f>
        <v/>
      </c>
    </row>
    <row r="113">
      <c r="B113" t="inlineStr">
        <is>
          <t>02/20/2026</t>
        </is>
      </c>
      <c r="C113" t="inlineStr">
        <is>
          <t>Bill</t>
        </is>
      </c>
      <c r="D113" t="inlineStr">
        <is>
          <t>NWS-4413</t>
        </is>
      </c>
      <c r="E113" t="inlineStr">
        <is>
          <t>Northwind Supply</t>
        </is>
      </c>
      <c r="F113" t="inlineStr">
        <is>
          <t>NWS-4413 components</t>
        </is>
      </c>
      <c r="H113" t="inlineStr">
        <is>
          <t>2010 Accounts Payable</t>
        </is>
      </c>
      <c r="I113">
        <f>17002.41</f>
        <v/>
      </c>
      <c r="J113">
        <f>201723.18</f>
        <v/>
      </c>
    </row>
    <row r="114">
      <c r="A114" t="inlineStr">
        <is>
          <t>Total for 5000 Cost of Goods Sold - Components</t>
        </is>
      </c>
      <c r="I114">
        <f>33219.42</f>
        <v/>
      </c>
    </row>
    <row r="115"/>
    <row r="116">
      <c r="A116" t="inlineStr">
        <is>
          <t>5100 Shipping and Freight</t>
        </is>
      </c>
    </row>
    <row r="117">
      <c r="G117" t="inlineStr">
        <is>
          <t>Beginning Balance</t>
        </is>
      </c>
      <c r="J117">
        <f>28921.50</f>
        <v/>
      </c>
    </row>
    <row r="118">
      <c r="A118" t="inlineStr">
        <is>
          <t>Total for 5100 Shipping and Freight</t>
        </is>
      </c>
      <c r="I118">
        <f>0.00</f>
        <v/>
      </c>
    </row>
    <row r="119"/>
    <row r="120">
      <c r="A120" t="inlineStr">
        <is>
          <t>6000 Salaries and Wages</t>
        </is>
      </c>
    </row>
    <row r="121">
      <c r="G121" t="inlineStr">
        <is>
          <t>Beginning Balance</t>
        </is>
      </c>
      <c r="J121">
        <f>515400.00</f>
        <v/>
      </c>
    </row>
    <row r="122">
      <c r="B122" t="inlineStr">
        <is>
          <t>01/15/2026</t>
        </is>
      </c>
      <c r="C122" t="inlineStr">
        <is>
          <t>Journal Entry</t>
        </is>
      </c>
      <c r="D122" t="inlineStr">
        <is>
          <t>JE-1052</t>
        </is>
      </c>
      <c r="E122" t="inlineStr">
        <is>
          <t>Proseware Payroll</t>
        </is>
      </c>
      <c r="F122" t="inlineStr">
        <is>
          <t>Payroll 2026-01-15 gross wages</t>
        </is>
      </c>
      <c r="H122" t="inlineStr">
        <is>
          <t>-Split-</t>
        </is>
      </c>
      <c r="I122">
        <f>24400.00</f>
        <v/>
      </c>
      <c r="J122">
        <f>539800.00</f>
        <v/>
      </c>
    </row>
    <row r="123">
      <c r="B123" t="inlineStr">
        <is>
          <t>01/31/2026</t>
        </is>
      </c>
      <c r="C123" t="inlineStr">
        <is>
          <t>Journal Entry</t>
        </is>
      </c>
      <c r="D123" t="inlineStr">
        <is>
          <t>JE-1053</t>
        </is>
      </c>
      <c r="E123" t="inlineStr">
        <is>
          <t>Proseware Payroll</t>
        </is>
      </c>
      <c r="F123" t="inlineStr">
        <is>
          <t>Payroll 2026-01-31 gross wages</t>
        </is>
      </c>
      <c r="H123" t="inlineStr">
        <is>
          <t>-Split-</t>
        </is>
      </c>
      <c r="I123">
        <f>24400.00</f>
        <v/>
      </c>
      <c r="J123">
        <f>564200.00</f>
        <v/>
      </c>
    </row>
    <row r="124">
      <c r="B124" t="inlineStr">
        <is>
          <t>02/15/2026</t>
        </is>
      </c>
      <c r="C124" t="inlineStr">
        <is>
          <t>Journal Entry</t>
        </is>
      </c>
      <c r="D124" t="inlineStr">
        <is>
          <t>JE-1057</t>
        </is>
      </c>
      <c r="E124" t="inlineStr">
        <is>
          <t>Proseware Payroll</t>
        </is>
      </c>
      <c r="F124" t="inlineStr">
        <is>
          <t>Payroll 2026-02-15 gross wages</t>
        </is>
      </c>
      <c r="H124" t="inlineStr">
        <is>
          <t>-Split-</t>
        </is>
      </c>
      <c r="I124">
        <f>24850.00</f>
        <v/>
      </c>
      <c r="J124">
        <f>589050.00</f>
        <v/>
      </c>
    </row>
    <row r="125">
      <c r="B125" t="inlineStr">
        <is>
          <t>02/28/2026</t>
        </is>
      </c>
      <c r="C125" t="inlineStr">
        <is>
          <t>Journal Entry</t>
        </is>
      </c>
      <c r="D125" t="inlineStr">
        <is>
          <t>JE-1058</t>
        </is>
      </c>
      <c r="E125" t="inlineStr">
        <is>
          <t>Proseware Payroll</t>
        </is>
      </c>
      <c r="F125" t="inlineStr">
        <is>
          <t>Payroll 2026-02-28 gross wages</t>
        </is>
      </c>
      <c r="H125" t="inlineStr">
        <is>
          <t>-Split-</t>
        </is>
      </c>
      <c r="I125">
        <f>24850.00</f>
        <v/>
      </c>
      <c r="J125">
        <f>613900.00</f>
        <v/>
      </c>
    </row>
    <row r="126">
      <c r="A126" t="inlineStr">
        <is>
          <t>Total for 6000 Salaries and Wages</t>
        </is>
      </c>
      <c r="I126">
        <f>98500.00</f>
        <v/>
      </c>
    </row>
    <row r="127"/>
    <row r="128">
      <c r="A128" t="inlineStr">
        <is>
          <t>6010 Payroll Taxes</t>
        </is>
      </c>
    </row>
    <row r="129">
      <c r="G129" t="inlineStr">
        <is>
          <t>Beginning Balance</t>
        </is>
      </c>
      <c r="J129">
        <f>39428.10</f>
        <v/>
      </c>
    </row>
    <row r="130">
      <c r="B130" t="inlineStr">
        <is>
          <t>01/15/2026</t>
        </is>
      </c>
      <c r="C130" t="inlineStr">
        <is>
          <t>Journal Entry</t>
        </is>
      </c>
      <c r="D130" t="inlineStr">
        <is>
          <t>JE-1052</t>
        </is>
      </c>
      <c r="E130" t="inlineStr">
        <is>
          <t>Proseware Payroll</t>
        </is>
      </c>
      <c r="F130" t="inlineStr">
        <is>
          <t>Payroll 2026-01-15 employer taxes</t>
        </is>
      </c>
      <c r="H130" t="inlineStr">
        <is>
          <t>-Split-</t>
        </is>
      </c>
      <c r="I130">
        <f>1866.60</f>
        <v/>
      </c>
      <c r="J130">
        <f>41294.70</f>
        <v/>
      </c>
    </row>
    <row r="131">
      <c r="B131" t="inlineStr">
        <is>
          <t>01/31/2026</t>
        </is>
      </c>
      <c r="C131" t="inlineStr">
        <is>
          <t>Journal Entry</t>
        </is>
      </c>
      <c r="D131" t="inlineStr">
        <is>
          <t>JE-1053</t>
        </is>
      </c>
      <c r="E131" t="inlineStr">
        <is>
          <t>Proseware Payroll</t>
        </is>
      </c>
      <c r="F131" t="inlineStr">
        <is>
          <t>Payroll 2026-01-31 employer taxes</t>
        </is>
      </c>
      <c r="H131" t="inlineStr">
        <is>
          <t>-Split-</t>
        </is>
      </c>
      <c r="I131">
        <f>1866.60</f>
        <v/>
      </c>
      <c r="J131">
        <f>43161.30</f>
        <v/>
      </c>
    </row>
    <row r="132">
      <c r="B132" t="inlineStr">
        <is>
          <t>02/15/2026</t>
        </is>
      </c>
      <c r="C132" t="inlineStr">
        <is>
          <t>Journal Entry</t>
        </is>
      </c>
      <c r="D132" t="inlineStr">
        <is>
          <t>JE-1057</t>
        </is>
      </c>
      <c r="E132" t="inlineStr">
        <is>
          <t>Proseware Payroll</t>
        </is>
      </c>
      <c r="F132" t="inlineStr">
        <is>
          <t>Payroll 2026-02-15 employer taxes</t>
        </is>
      </c>
      <c r="H132" t="inlineStr">
        <is>
          <t>-Split-</t>
        </is>
      </c>
      <c r="I132">
        <f>1901.02</f>
        <v/>
      </c>
      <c r="J132">
        <f>45062.32</f>
        <v/>
      </c>
    </row>
    <row r="133">
      <c r="B133" t="inlineStr">
        <is>
          <t>02/28/2026</t>
        </is>
      </c>
      <c r="C133" t="inlineStr">
        <is>
          <t>Journal Entry</t>
        </is>
      </c>
      <c r="D133" t="inlineStr">
        <is>
          <t>JE-1058</t>
        </is>
      </c>
      <c r="E133" t="inlineStr">
        <is>
          <t>Proseware Payroll</t>
        </is>
      </c>
      <c r="F133" t="inlineStr">
        <is>
          <t>Payroll 2026-02-28 employer taxes</t>
        </is>
      </c>
      <c r="H133" t="inlineStr">
        <is>
          <t>-Split-</t>
        </is>
      </c>
      <c r="I133">
        <f>1901.02</f>
        <v/>
      </c>
      <c r="J133">
        <f>46963.34</f>
        <v/>
      </c>
    </row>
    <row r="134">
      <c r="A134" t="inlineStr">
        <is>
          <t>Total for 6010 Payroll Taxes</t>
        </is>
      </c>
      <c r="I134">
        <f>7535.24</f>
        <v/>
      </c>
    </row>
    <row r="135"/>
    <row r="136">
      <c r="A136" t="inlineStr">
        <is>
          <t>6100 Contract Engineering</t>
        </is>
      </c>
    </row>
    <row r="137">
      <c r="G137" t="inlineStr">
        <is>
          <t>Beginning Balance</t>
        </is>
      </c>
      <c r="J137">
        <f>104285.66</f>
        <v/>
      </c>
    </row>
    <row r="138">
      <c r="A138" t="inlineStr">
        <is>
          <t>Total for 6100 Contract Engineering</t>
        </is>
      </c>
      <c r="I138">
        <f>0.00</f>
        <v/>
      </c>
    </row>
    <row r="139"/>
    <row r="140">
      <c r="A140" t="inlineStr">
        <is>
          <t>6200 Software Subscriptions</t>
        </is>
      </c>
    </row>
    <row r="141">
      <c r="G141" t="inlineStr">
        <is>
          <t>Beginning Balance</t>
        </is>
      </c>
      <c r="J141">
        <f>6013.35</f>
        <v/>
      </c>
    </row>
    <row r="142">
      <c r="A142" t="inlineStr">
        <is>
          <t>Total for 6200 Software Subscriptions</t>
        </is>
      </c>
      <c r="I142">
        <f>0.00</f>
        <v/>
      </c>
    </row>
    <row r="143"/>
    <row r="144">
      <c r="A144" t="inlineStr">
        <is>
          <t>6300 Cloud Hosting</t>
        </is>
      </c>
    </row>
    <row r="145">
      <c r="G145" t="inlineStr">
        <is>
          <t>Beginning Balance</t>
        </is>
      </c>
      <c r="J145">
        <f>29603.35</f>
        <v/>
      </c>
    </row>
    <row r="146">
      <c r="A146" t="inlineStr">
        <is>
          <t>Total for 6300 Cloud Hosting</t>
        </is>
      </c>
      <c r="I146">
        <f>0.00</f>
        <v/>
      </c>
    </row>
    <row r="147"/>
    <row r="148">
      <c r="A148" t="inlineStr">
        <is>
          <t>6400 Rent</t>
        </is>
      </c>
    </row>
    <row r="149">
      <c r="G149" t="inlineStr">
        <is>
          <t>Beginning Balance</t>
        </is>
      </c>
      <c r="J149">
        <f>58500.00</f>
        <v/>
      </c>
    </row>
    <row r="150">
      <c r="A150" t="inlineStr">
        <is>
          <t>Total for 6400 Rent</t>
        </is>
      </c>
      <c r="I150">
        <f>0.00</f>
        <v/>
      </c>
    </row>
    <row r="151"/>
    <row r="152">
      <c r="A152" t="inlineStr">
        <is>
          <t>6500 Insurance</t>
        </is>
      </c>
    </row>
    <row r="153">
      <c r="G153" t="inlineStr">
        <is>
          <t>Beginning Balance</t>
        </is>
      </c>
      <c r="J153">
        <f>7200.00</f>
        <v/>
      </c>
    </row>
    <row r="154">
      <c r="A154" t="inlineStr">
        <is>
          <t>Total for 6500 Insurance</t>
        </is>
      </c>
      <c r="I154">
        <f>0.00</f>
        <v/>
      </c>
    </row>
    <row r="155"/>
    <row r="156">
      <c r="A156" t="inlineStr">
        <is>
          <t>6600 Marketing and Advertising</t>
        </is>
      </c>
    </row>
    <row r="157">
      <c r="G157" t="inlineStr">
        <is>
          <t>Beginning Balance</t>
        </is>
      </c>
      <c r="J157">
        <f>27598.52</f>
        <v/>
      </c>
    </row>
    <row r="158">
      <c r="A158" t="inlineStr">
        <is>
          <t>Total for 6600 Marketing and Advertising</t>
        </is>
      </c>
      <c r="I158">
        <f>0.00</f>
        <v/>
      </c>
    </row>
    <row r="159"/>
    <row r="160">
      <c r="A160" t="inlineStr">
        <is>
          <t>6700 Office Supplies</t>
        </is>
      </c>
    </row>
    <row r="161">
      <c r="G161" t="inlineStr">
        <is>
          <t>Beginning Balance</t>
        </is>
      </c>
      <c r="J161">
        <f>1709.13</f>
        <v/>
      </c>
    </row>
    <row r="162">
      <c r="A162" t="inlineStr">
        <is>
          <t>Total for 6700 Office Supplies</t>
        </is>
      </c>
      <c r="I162">
        <f>0.00</f>
        <v/>
      </c>
    </row>
    <row r="163"/>
    <row r="164">
      <c r="A164" t="inlineStr">
        <is>
          <t>6800 Professional Fees</t>
        </is>
      </c>
    </row>
    <row r="165">
      <c r="G165" t="inlineStr">
        <is>
          <t>Beginning Balance</t>
        </is>
      </c>
      <c r="J165">
        <f>54013.42</f>
        <v/>
      </c>
    </row>
    <row r="166">
      <c r="A166" t="inlineStr">
        <is>
          <t>Total for 6800 Professional Fees</t>
        </is>
      </c>
      <c r="I166">
        <f>0.00</f>
        <v/>
      </c>
    </row>
    <row r="167"/>
    <row r="168">
      <c r="A168" t="inlineStr">
        <is>
          <t>6900 Travel and Meals</t>
        </is>
      </c>
    </row>
    <row r="169">
      <c r="G169" t="inlineStr">
        <is>
          <t>Beginning Balance</t>
        </is>
      </c>
      <c r="J169">
        <f>6200.10</f>
        <v/>
      </c>
    </row>
    <row r="170">
      <c r="A170" t="inlineStr">
        <is>
          <t>Total for 6900 Travel and Meals</t>
        </is>
      </c>
      <c r="I170">
        <f>0.00</f>
        <v/>
      </c>
    </row>
    <row r="171"/>
    <row r="172">
      <c r="A172" t="inlineStr">
        <is>
          <t>6950 Bank and Processor Fees</t>
        </is>
      </c>
    </row>
    <row r="173">
      <c r="G173" t="inlineStr">
        <is>
          <t>Beginning Balance</t>
        </is>
      </c>
      <c r="J173">
        <f>7582.69</f>
        <v/>
      </c>
    </row>
    <row r="174">
      <c r="A174" t="inlineStr">
        <is>
          <t>Total for 6950 Bank and Processor Fees</t>
        </is>
      </c>
      <c r="I174">
        <f>0.00</f>
        <v/>
      </c>
    </row>
    <row r="175"/>
    <row r="176">
      <c r="A176" t="inlineStr">
        <is>
          <t>7000 Depreciation Expense</t>
        </is>
      </c>
    </row>
    <row r="177">
      <c r="G177" t="inlineStr">
        <is>
          <t>Beginning Balance</t>
        </is>
      </c>
      <c r="J177">
        <f>8800.00</f>
        <v/>
      </c>
    </row>
    <row r="178">
      <c r="B178" t="inlineStr">
        <is>
          <t>01/31/2026</t>
        </is>
      </c>
      <c r="C178" t="inlineStr">
        <is>
          <t>Journal Entry</t>
        </is>
      </c>
      <c r="D178" t="inlineStr">
        <is>
          <t>JE-1056</t>
        </is>
      </c>
      <c r="E178" t="inlineStr"/>
      <c r="F178" t="inlineStr">
        <is>
          <t>Depreciation 2026-01</t>
        </is>
      </c>
      <c r="H178" t="inlineStr">
        <is>
          <t>1510 Accumulated Depreciation</t>
        </is>
      </c>
      <c r="I178">
        <f>800.00</f>
        <v/>
      </c>
      <c r="J178">
        <f>9600.00</f>
        <v/>
      </c>
    </row>
    <row r="179">
      <c r="B179" t="inlineStr">
        <is>
          <t>02/28/2026</t>
        </is>
      </c>
      <c r="C179" t="inlineStr">
        <is>
          <t>Journal Entry</t>
        </is>
      </c>
      <c r="D179" t="inlineStr">
        <is>
          <t>JE-1061</t>
        </is>
      </c>
      <c r="E179" t="inlineStr"/>
      <c r="F179" t="inlineStr">
        <is>
          <t>Depreciation 2026-02</t>
        </is>
      </c>
      <c r="H179" t="inlineStr">
        <is>
          <t>1510 Accumulated Depreciation</t>
        </is>
      </c>
      <c r="I179">
        <f>800.00</f>
        <v/>
      </c>
      <c r="J179">
        <f>10400.00</f>
        <v/>
      </c>
    </row>
    <row r="180">
      <c r="A180" t="inlineStr">
        <is>
          <t>Total for 7000 Depreciation Expense</t>
        </is>
      </c>
      <c r="I180">
        <f>1600.00</f>
        <v/>
      </c>
    </row>
    <row r="181"/>
    <row r="182">
      <c r="A182" t="inlineStr">
        <is>
          <t>7100 Amortization Expense</t>
        </is>
      </c>
    </row>
    <row r="183">
      <c r="G183" t="inlineStr">
        <is>
          <t>Beginning Balance</t>
        </is>
      </c>
      <c r="J183">
        <f>7000.00</f>
        <v/>
      </c>
    </row>
    <row r="184">
      <c r="A184" t="inlineStr">
        <is>
          <t>Total for 7100 Amortization Expense</t>
        </is>
      </c>
      <c r="I184">
        <f>0.00</f>
        <v/>
      </c>
    </row>
    <row r="185"/>
    <row r="186">
      <c r="A186" t="inlineStr">
        <is>
          <t>TOTAL</t>
        </is>
      </c>
      <c r="I186">
        <f>328265.98</f>
        <v/>
      </c>
    </row>
    <row r="187"/>
    <row r="188">
      <c r="A188" t="inlineStr">
        <is>
          <t>Accrual Basis Monday, March 02, 2026 08:03 PM GMT-8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2026-09-10T02:33:14Z</dcterms:created>
  <dcterms:modified xmlns:dcterms="http://purl.org/dc/terms/" xmlns:xsi="http://www.w3.org/2001/XMLSchema-instance" xsi:type="dcterms:W3CDTF">2026-09-10T02:33:14Z</dcterms:modified>
</cp:coreProperties>
</file>