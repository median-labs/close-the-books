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Ledger</t>
        </is>
      </c>
    </row>
    <row r="2">
      <c r="A2" t="inlineStr">
        <is>
          <t>Acme Robotics Inc.</t>
        </is>
      </c>
    </row>
    <row r="3">
      <c r="A3" t="inlineStr">
        <is>
          <t>January 1-December 31, 2025</t>
        </is>
      </c>
    </row>
    <row r="4"/>
    <row r="5">
      <c r="A5" t="inlineStr"/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Memo/Description</t>
        </is>
      </c>
      <c r="G5" t="inlineStr">
        <is>
          <t>Distribution Account</t>
        </is>
      </c>
      <c r="H5" t="inlineStr">
        <is>
          <t>Split</t>
        </is>
      </c>
      <c r="I5" t="inlineStr">
        <is>
          <t>Amount</t>
        </is>
      </c>
      <c r="J5" t="inlineStr">
        <is>
          <t>Balance</t>
        </is>
      </c>
    </row>
    <row r="6">
      <c r="A6" t="inlineStr">
        <is>
          <t>1010 Northgate Checking 7742</t>
        </is>
      </c>
    </row>
    <row r="7">
      <c r="G7" t="inlineStr">
        <is>
          <t>Beginning Balance</t>
        </is>
      </c>
      <c r="J7">
        <f>0.00</f>
        <v/>
      </c>
    </row>
    <row r="8">
      <c r="B8" t="inlineStr">
        <is>
          <t>01/01/2025</t>
        </is>
      </c>
      <c r="C8" t="inlineStr">
        <is>
          <t>Deposit</t>
        </is>
      </c>
      <c r="D8" t="inlineStr"/>
      <c r="E8" t="inlineStr">
        <is>
          <t>Founders</t>
        </is>
      </c>
      <c r="F8" t="inlineStr">
        <is>
          <t>Founder common stock purchase</t>
        </is>
      </c>
      <c r="H8" t="inlineStr">
        <is>
          <t>-Split-</t>
        </is>
      </c>
      <c r="I8">
        <f>25000.00</f>
        <v/>
      </c>
      <c r="J8">
        <f>25000.00</f>
        <v/>
      </c>
    </row>
    <row r="9">
      <c r="B9" t="inlineStr">
        <is>
          <t>01/01/2025</t>
        </is>
      </c>
      <c r="C9" t="inlineStr">
        <is>
          <t>Expense</t>
        </is>
      </c>
      <c r="D9" t="inlineStr"/>
      <c r="E9" t="inlineStr">
        <is>
          <t>Wingtip Workspace</t>
        </is>
      </c>
      <c r="F9" t="inlineStr">
        <is>
          <t>Office rent 2025-01</t>
        </is>
      </c>
      <c r="H9" t="inlineStr">
        <is>
          <t>6400 Rent</t>
        </is>
      </c>
      <c r="I9">
        <f>-6500.00</f>
        <v/>
      </c>
      <c r="J9">
        <f>18500.00</f>
        <v/>
      </c>
    </row>
    <row r="10">
      <c r="B10" t="inlineStr">
        <is>
          <t>01/02/2025</t>
        </is>
      </c>
      <c r="C10" t="inlineStr">
        <is>
          <t>Check</t>
        </is>
      </c>
      <c r="D10" t="inlineStr"/>
      <c r="E10" t="inlineStr">
        <is>
          <t>Adatum Insurance</t>
        </is>
      </c>
      <c r="F10" t="inlineStr">
        <is>
          <t>12-month general liability policy 2025-01 to 2025-12</t>
        </is>
      </c>
      <c r="H10" t="inlineStr">
        <is>
          <t>1300 Prepaid Insurance</t>
        </is>
      </c>
      <c r="I10">
        <f>-14400.00</f>
        <v/>
      </c>
      <c r="J10">
        <f>4100.00</f>
        <v/>
      </c>
    </row>
    <row r="11">
      <c r="B11" t="inlineStr">
        <is>
          <t>01/02/2025</t>
        </is>
      </c>
      <c r="C11" t="inlineStr">
        <is>
          <t>Deposit</t>
        </is>
      </c>
      <c r="D11" t="inlineStr"/>
      <c r="E11" t="inlineStr">
        <is>
          <t>Harborlight Ventures</t>
        </is>
      </c>
      <c r="F11" t="inlineStr">
        <is>
          <t>SAFE, 8,000,000 post-money cap, no discount</t>
        </is>
      </c>
      <c r="H11" t="inlineStr">
        <is>
          <t>3300 SAFE - Simple Agreement for Future Equity</t>
        </is>
      </c>
      <c r="I11">
        <f>500000.00</f>
        <v/>
      </c>
      <c r="J11">
        <f>504100.00</f>
        <v/>
      </c>
    </row>
    <row r="12">
      <c r="B12" t="inlineStr">
        <is>
          <t>01/02/2025</t>
        </is>
      </c>
      <c r="C12" t="inlineStr">
        <is>
          <t>Expense</t>
        </is>
      </c>
      <c r="D12" t="inlineStr"/>
      <c r="E12" t="inlineStr">
        <is>
          <t>Bluepeak Engineering</t>
        </is>
      </c>
      <c r="F12" t="inlineStr">
        <is>
          <t>Bluepeak Engineering invoice 16355</t>
        </is>
      </c>
      <c r="H12" t="inlineStr">
        <is>
          <t>6100 Contract Engineering</t>
        </is>
      </c>
      <c r="I12">
        <f>-1721.05</f>
        <v/>
      </c>
      <c r="J12">
        <f>502378.95</f>
        <v/>
      </c>
    </row>
    <row r="13">
      <c r="B13" t="inlineStr">
        <is>
          <t>01/04/2025</t>
        </is>
      </c>
      <c r="C13" t="inlineStr">
        <is>
          <t>Expense</t>
        </is>
      </c>
      <c r="D13" t="inlineStr"/>
      <c r="E13" t="inlineStr">
        <is>
          <t>Quartz CAD Services</t>
        </is>
      </c>
      <c r="F13" t="inlineStr">
        <is>
          <t>Quartz CAD Services invoice 86072</t>
        </is>
      </c>
      <c r="H13" t="inlineStr">
        <is>
          <t>6100 Contract Engineering</t>
        </is>
      </c>
      <c r="I13">
        <f>-794.84</f>
        <v/>
      </c>
      <c r="J13">
        <f>501584.11</f>
        <v/>
      </c>
    </row>
    <row r="14">
      <c r="B14" t="inlineStr">
        <is>
          <t>01/05/2025</t>
        </is>
      </c>
      <c r="C14" t="inlineStr">
        <is>
          <t>Expense</t>
        </is>
      </c>
      <c r="D14" t="inlineStr"/>
      <c r="E14" t="inlineStr">
        <is>
          <t>Vantage Card</t>
        </is>
      </c>
      <c r="F14" t="inlineStr">
        <is>
          <t>Vantage card payment</t>
        </is>
      </c>
      <c r="H14" t="inlineStr">
        <is>
          <t>2100 Vantage Card 3391</t>
        </is>
      </c>
      <c r="I14">
        <f>-4182.65</f>
        <v/>
      </c>
      <c r="J14">
        <f>497401.46</f>
        <v/>
      </c>
    </row>
    <row r="15">
      <c r="B15" t="inlineStr">
        <is>
          <t>01/05/2025</t>
        </is>
      </c>
      <c r="C15" t="inlineStr">
        <is>
          <t>Transfer</t>
        </is>
      </c>
      <c r="D15" t="inlineStr"/>
      <c r="E15" t="inlineStr"/>
      <c r="F15" t="inlineStr">
        <is>
          <t>Transfer to savings</t>
        </is>
      </c>
      <c r="H15" t="inlineStr">
        <is>
          <t>1020 Northgate Savings 7809</t>
        </is>
      </c>
      <c r="I15">
        <f>-5000.00</f>
        <v/>
      </c>
      <c r="J15">
        <f>492401.46</f>
        <v/>
      </c>
    </row>
    <row r="16">
      <c r="B16" t="inlineStr">
        <is>
          <t>01/11/2025</t>
        </is>
      </c>
      <c r="C16" t="inlineStr">
        <is>
          <t>Expense</t>
        </is>
      </c>
      <c r="D16" t="inlineStr"/>
      <c r="E16" t="inlineStr">
        <is>
          <t>Redwood Prototyping</t>
        </is>
      </c>
      <c r="F16" t="inlineStr">
        <is>
          <t>Redwood Prototyping invoice 32277</t>
        </is>
      </c>
      <c r="H16" t="inlineStr">
        <is>
          <t>6100 Contract Engineering</t>
        </is>
      </c>
      <c r="I16">
        <f>-880.56</f>
        <v/>
      </c>
      <c r="J16">
        <f>491520.90</f>
        <v/>
      </c>
    </row>
    <row r="17">
      <c r="B17" t="inlineStr">
        <is>
          <t>01/12/2025</t>
        </is>
      </c>
      <c r="C17" t="inlineStr">
        <is>
          <t>Expense</t>
        </is>
      </c>
      <c r="D17" t="inlineStr"/>
      <c r="E17" t="inlineStr">
        <is>
          <t>Quartz CAD Services</t>
        </is>
      </c>
      <c r="F17" t="inlineStr">
        <is>
          <t>Quartz CAD Services invoice 13255</t>
        </is>
      </c>
      <c r="H17" t="inlineStr">
        <is>
          <t>6100 Contract Engineering</t>
        </is>
      </c>
      <c r="I17">
        <f>-241.18</f>
        <v/>
      </c>
      <c r="J17">
        <f>491279.72</f>
        <v/>
      </c>
    </row>
    <row r="18">
      <c r="B18" t="inlineStr">
        <is>
          <t>01/15/2025</t>
        </is>
      </c>
      <c r="C18" t="inlineStr">
        <is>
          <t>Check</t>
        </is>
      </c>
      <c r="D18" t="inlineStr"/>
      <c r="E18" t="inlineStr">
        <is>
          <t>Orion Design Works</t>
        </is>
      </c>
      <c r="F18" t="inlineStr">
        <is>
          <t>Perpetual design license, 60-month life</t>
        </is>
      </c>
      <c r="H18" t="inlineStr">
        <is>
          <t>1600 Intangible Assets - Design License</t>
        </is>
      </c>
      <c r="I18">
        <f>-60000.00</f>
        <v/>
      </c>
      <c r="J18">
        <f>431279.72</f>
        <v/>
      </c>
    </row>
    <row r="19">
      <c r="B19" t="inlineStr">
        <is>
          <t>01/15/2025</t>
        </is>
      </c>
      <c r="C19" t="inlineStr">
        <is>
          <t>Expense</t>
        </is>
      </c>
      <c r="D19" t="inlineStr"/>
      <c r="E19" t="inlineStr">
        <is>
          <t>Proseware Payroll</t>
        </is>
      </c>
      <c r="F19" t="inlineStr">
        <is>
          <t>Proseware payroll debit 2025-01-15</t>
        </is>
      </c>
      <c r="H19" t="inlineStr">
        <is>
          <t>-Split-</t>
        </is>
      </c>
      <c r="I19">
        <f>-20453.50</f>
        <v/>
      </c>
      <c r="J19">
        <f>410826.22</f>
        <v/>
      </c>
    </row>
    <row r="20">
      <c r="B20" t="inlineStr">
        <is>
          <t>01/15/2025</t>
        </is>
      </c>
      <c r="C20" t="inlineStr">
        <is>
          <t>Deposit</t>
        </is>
      </c>
      <c r="D20" t="inlineStr"/>
      <c r="E20" t="inlineStr">
        <is>
          <t>Paylane</t>
        </is>
      </c>
      <c r="F20" t="inlineStr">
        <is>
          <t>Paylane payout 2025-01 #1</t>
        </is>
      </c>
      <c r="H20" t="inlineStr">
        <is>
          <t>1200 Paylane Clearing</t>
        </is>
      </c>
      <c r="I20">
        <f>12460.27</f>
        <v/>
      </c>
      <c r="J20">
        <f>423286.49</f>
        <v/>
      </c>
    </row>
    <row r="21">
      <c r="B21" t="inlineStr">
        <is>
          <t>01/18/2025</t>
        </is>
      </c>
      <c r="C21" t="inlineStr">
        <is>
          <t>Expense</t>
        </is>
      </c>
      <c r="D21" t="inlineStr"/>
      <c r="E21" t="inlineStr">
        <is>
          <t>Trey Research</t>
        </is>
      </c>
      <c r="F21" t="inlineStr">
        <is>
          <t>Trey Research monthly engagement</t>
        </is>
      </c>
      <c r="H21" t="inlineStr">
        <is>
          <t>6100 Contract Engineering</t>
        </is>
      </c>
      <c r="I21">
        <f>-3733.92</f>
        <v/>
      </c>
      <c r="J21">
        <f>419552.57</f>
        <v/>
      </c>
    </row>
    <row r="22">
      <c r="B22" t="inlineStr">
        <is>
          <t>01/19/2025</t>
        </is>
      </c>
      <c r="C22" t="inlineStr">
        <is>
          <t>Expense</t>
        </is>
      </c>
      <c r="D22" t="inlineStr"/>
      <c r="E22" t="inlineStr">
        <is>
          <t>Redwood Prototyping</t>
        </is>
      </c>
      <c r="F22" t="inlineStr">
        <is>
          <t>Redwood Prototyping invoice 77466</t>
        </is>
      </c>
      <c r="H22" t="inlineStr">
        <is>
          <t>6100 Contract Engineering</t>
        </is>
      </c>
      <c r="I22">
        <f>-1051.47</f>
        <v/>
      </c>
      <c r="J22">
        <f>418501.10</f>
        <v/>
      </c>
    </row>
    <row r="23">
      <c r="B23" t="inlineStr">
        <is>
          <t>01/21/2025</t>
        </is>
      </c>
      <c r="C23" t="inlineStr">
        <is>
          <t>Expense</t>
        </is>
      </c>
      <c r="D23" t="inlineStr"/>
      <c r="E23" t="inlineStr">
        <is>
          <t>Litware Legal</t>
        </is>
      </c>
      <c r="F23" t="inlineStr">
        <is>
          <t>Litware Legal invoice 22580</t>
        </is>
      </c>
      <c r="H23" t="inlineStr">
        <is>
          <t>6800 Professional Fees</t>
        </is>
      </c>
      <c r="I23">
        <f>-806.75</f>
        <v/>
      </c>
      <c r="J23">
        <f>417694.35</f>
        <v/>
      </c>
    </row>
    <row r="24">
      <c r="B24" t="inlineStr">
        <is>
          <t>01/25/2025</t>
        </is>
      </c>
      <c r="C24" t="inlineStr">
        <is>
          <t>Expense</t>
        </is>
      </c>
      <c r="D24" t="inlineStr"/>
      <c r="E24" t="inlineStr">
        <is>
          <t>Quartz CAD Services</t>
        </is>
      </c>
      <c r="F24" t="inlineStr">
        <is>
          <t>Quartz CAD Services invoice 46783</t>
        </is>
      </c>
      <c r="H24" t="inlineStr">
        <is>
          <t>6100 Contract Engineering</t>
        </is>
      </c>
      <c r="I24">
        <f>-210.20</f>
        <v/>
      </c>
      <c r="J24">
        <f>417484.15</f>
        <v/>
      </c>
    </row>
    <row r="25">
      <c r="B25" t="inlineStr">
        <is>
          <t>01/26/2025</t>
        </is>
      </c>
      <c r="C25" t="inlineStr">
        <is>
          <t>Expense</t>
        </is>
      </c>
      <c r="D25" t="inlineStr"/>
      <c r="E25" t="inlineStr">
        <is>
          <t>Litware Legal</t>
        </is>
      </c>
      <c r="F25" t="inlineStr">
        <is>
          <t>Litware Legal invoice 99921</t>
        </is>
      </c>
      <c r="H25" t="inlineStr">
        <is>
          <t>6800 Professional Fees</t>
        </is>
      </c>
      <c r="I25">
        <f>-1172.17</f>
        <v/>
      </c>
      <c r="J25">
        <f>416311.98</f>
        <v/>
      </c>
    </row>
    <row r="26">
      <c r="B26" t="inlineStr">
        <is>
          <t>01/27/2025</t>
        </is>
      </c>
      <c r="C26" t="inlineStr">
        <is>
          <t>Expense</t>
        </is>
      </c>
      <c r="D26" t="inlineStr"/>
      <c r="E26" t="inlineStr">
        <is>
          <t>Quartz CAD Services</t>
        </is>
      </c>
      <c r="F26" t="inlineStr">
        <is>
          <t>Quartz CAD Services invoice 39368</t>
        </is>
      </c>
      <c r="H26" t="inlineStr">
        <is>
          <t>6100 Contract Engineering</t>
        </is>
      </c>
      <c r="I26">
        <f>-504.28</f>
        <v/>
      </c>
      <c r="J26">
        <f>415807.70</f>
        <v/>
      </c>
    </row>
    <row r="27">
      <c r="B27" t="inlineStr">
        <is>
          <t>01/31/2025</t>
        </is>
      </c>
      <c r="C27" t="inlineStr">
        <is>
          <t>Expense</t>
        </is>
      </c>
      <c r="D27" t="inlineStr"/>
      <c r="E27" t="inlineStr">
        <is>
          <t>Proseware Payroll</t>
        </is>
      </c>
      <c r="F27" t="inlineStr">
        <is>
          <t>Proseware payroll debit 2025-01-31</t>
        </is>
      </c>
      <c r="H27" t="inlineStr">
        <is>
          <t>-Split-</t>
        </is>
      </c>
      <c r="I27">
        <f>-20453.50</f>
        <v/>
      </c>
      <c r="J27">
        <f>395354.20</f>
        <v/>
      </c>
    </row>
    <row r="28">
      <c r="B28" t="inlineStr">
        <is>
          <t>01/31/2025</t>
        </is>
      </c>
      <c r="C28" t="inlineStr">
        <is>
          <t>Deposit</t>
        </is>
      </c>
      <c r="D28" t="inlineStr"/>
      <c r="E28" t="inlineStr">
        <is>
          <t>Paylane</t>
        </is>
      </c>
      <c r="F28" t="inlineStr">
        <is>
          <t>Paylane payout 2025-01 #2</t>
        </is>
      </c>
      <c r="H28" t="inlineStr">
        <is>
          <t>1200 Paylane Clearing</t>
        </is>
      </c>
      <c r="I28">
        <f>10194.77</f>
        <v/>
      </c>
      <c r="J28">
        <f>405548.97</f>
        <v/>
      </c>
    </row>
    <row r="29">
      <c r="B29" t="inlineStr">
        <is>
          <t>01/31/2025</t>
        </is>
      </c>
      <c r="C29" t="inlineStr">
        <is>
          <t>Expense</t>
        </is>
      </c>
      <c r="D29" t="inlineStr"/>
      <c r="E29" t="inlineStr">
        <is>
          <t>Northgate Bank</t>
        </is>
      </c>
      <c r="F29" t="inlineStr">
        <is>
          <t>Account analysis fee 2025-01</t>
        </is>
      </c>
      <c r="H29" t="inlineStr">
        <is>
          <t>6950 Bank and Processor Fees</t>
        </is>
      </c>
      <c r="I29">
        <f>-45.00</f>
        <v/>
      </c>
      <c r="J29">
        <f>405503.97</f>
        <v/>
      </c>
    </row>
    <row r="30">
      <c r="B30" t="inlineStr">
        <is>
          <t>02/01/2025</t>
        </is>
      </c>
      <c r="C30" t="inlineStr">
        <is>
          <t>Expense</t>
        </is>
      </c>
      <c r="D30" t="inlineStr"/>
      <c r="E30" t="inlineStr">
        <is>
          <t>Wingtip Workspace</t>
        </is>
      </c>
      <c r="F30" t="inlineStr">
        <is>
          <t>Office rent 2025-02</t>
        </is>
      </c>
      <c r="H30" t="inlineStr">
        <is>
          <t>6400 Rent</t>
        </is>
      </c>
      <c r="I30">
        <f>-6500.00</f>
        <v/>
      </c>
      <c r="J30">
        <f>399003.97</f>
        <v/>
      </c>
    </row>
    <row r="31">
      <c r="B31" t="inlineStr">
        <is>
          <t>02/02/2025</t>
        </is>
      </c>
      <c r="C31" t="inlineStr">
        <is>
          <t>Expense</t>
        </is>
      </c>
      <c r="D31" t="inlineStr"/>
      <c r="E31" t="inlineStr">
        <is>
          <t>Fabrikam Freight</t>
        </is>
      </c>
      <c r="F31" t="inlineStr">
        <is>
          <t>Fabrikam Freight invoice 65136</t>
        </is>
      </c>
      <c r="H31" t="inlineStr">
        <is>
          <t>5100 Shipping and Freight</t>
        </is>
      </c>
      <c r="I31">
        <f>-191.77</f>
        <v/>
      </c>
      <c r="J31">
        <f>398812.20</f>
        <v/>
      </c>
    </row>
    <row r="32">
      <c r="B32" t="inlineStr">
        <is>
          <t>02/05/2025</t>
        </is>
      </c>
      <c r="C32" t="inlineStr">
        <is>
          <t>Expense</t>
        </is>
      </c>
      <c r="D32" t="inlineStr"/>
      <c r="E32" t="inlineStr">
        <is>
          <t>Vantage Card</t>
        </is>
      </c>
      <c r="F32" t="inlineStr">
        <is>
          <t>Vantage card payment</t>
        </is>
      </c>
      <c r="H32" t="inlineStr">
        <is>
          <t>2100 Vantage Card 3391</t>
        </is>
      </c>
      <c r="I32">
        <f>-5901.96</f>
        <v/>
      </c>
      <c r="J32">
        <f>392910.24</f>
        <v/>
      </c>
    </row>
    <row r="33">
      <c r="B33" t="inlineStr">
        <is>
          <t>02/05/2025</t>
        </is>
      </c>
      <c r="C33" t="inlineStr">
        <is>
          <t>Transfer</t>
        </is>
      </c>
      <c r="D33" t="inlineStr"/>
      <c r="E33" t="inlineStr"/>
      <c r="F33" t="inlineStr">
        <is>
          <t>Transfer to savings</t>
        </is>
      </c>
      <c r="H33" t="inlineStr">
        <is>
          <t>1020 Northgate Savings 7809</t>
        </is>
      </c>
      <c r="I33">
        <f>-5000.00</f>
        <v/>
      </c>
      <c r="J33">
        <f>387910.24</f>
        <v/>
      </c>
    </row>
    <row r="34">
      <c r="B34" t="inlineStr">
        <is>
          <t>02/05/2025</t>
        </is>
      </c>
      <c r="C34" t="inlineStr">
        <is>
          <t>Expense</t>
        </is>
      </c>
      <c r="D34" t="inlineStr"/>
      <c r="E34" t="inlineStr">
        <is>
          <t>Quartz CAD Services</t>
        </is>
      </c>
      <c r="F34" t="inlineStr">
        <is>
          <t>Quartz CAD Services invoice 92831</t>
        </is>
      </c>
      <c r="H34" t="inlineStr">
        <is>
          <t>6100 Contract Engineering</t>
        </is>
      </c>
      <c r="I34">
        <f>-519.57</f>
        <v/>
      </c>
      <c r="J34">
        <f>387390.67</f>
        <v/>
      </c>
    </row>
    <row r="35">
      <c r="B35" t="inlineStr">
        <is>
          <t>02/07/2025</t>
        </is>
      </c>
      <c r="C35" t="inlineStr">
        <is>
          <t>Expense</t>
        </is>
      </c>
      <c r="D35" t="inlineStr"/>
      <c r="E35" t="inlineStr">
        <is>
          <t>Redwood Prototyping</t>
        </is>
      </c>
      <c r="F35" t="inlineStr">
        <is>
          <t>Redwood Prototyping invoice 54165</t>
        </is>
      </c>
      <c r="H35" t="inlineStr">
        <is>
          <t>6100 Contract Engineering</t>
        </is>
      </c>
      <c r="I35">
        <f>-778.57</f>
        <v/>
      </c>
      <c r="J35">
        <f>386612.10</f>
        <v/>
      </c>
    </row>
    <row r="36">
      <c r="B36" t="inlineStr">
        <is>
          <t>02/08/2025</t>
        </is>
      </c>
      <c r="C36" t="inlineStr">
        <is>
          <t>Expense</t>
        </is>
      </c>
      <c r="D36" t="inlineStr"/>
      <c r="E36" t="inlineStr">
        <is>
          <t>Northwind Supply</t>
        </is>
      </c>
      <c r="F36" t="inlineStr">
        <is>
          <t>Northwind Supply invoice 32837</t>
        </is>
      </c>
      <c r="H36" t="inlineStr">
        <is>
          <t>5000 Cost of Goods Sold - Components</t>
        </is>
      </c>
      <c r="I36">
        <f>-792.10</f>
        <v/>
      </c>
      <c r="J36">
        <f>385820.00</f>
        <v/>
      </c>
    </row>
    <row r="37">
      <c r="B37" t="inlineStr">
        <is>
          <t>02/10/2025</t>
        </is>
      </c>
      <c r="C37" t="inlineStr">
        <is>
          <t>Check</t>
        </is>
      </c>
      <c r="D37" t="inlineStr"/>
      <c r="E37" t="inlineStr">
        <is>
          <t>Precision Machine Works</t>
        </is>
      </c>
      <c r="F37" t="inlineStr">
        <is>
          <t>CNC cell, 5-year life, in service 2025-02-10</t>
        </is>
      </c>
      <c r="H37" t="inlineStr">
        <is>
          <t>1500 Machinery and Equipment</t>
        </is>
      </c>
      <c r="I37">
        <f>-48000.00</f>
        <v/>
      </c>
      <c r="J37">
        <f>337820.00</f>
        <v/>
      </c>
    </row>
    <row r="38">
      <c r="B38" t="inlineStr">
        <is>
          <t>02/10/2025</t>
        </is>
      </c>
      <c r="C38" t="inlineStr">
        <is>
          <t>Payment</t>
        </is>
      </c>
      <c r="D38" t="inlineStr"/>
      <c r="E38" t="inlineStr">
        <is>
          <t>Volt Dynamics Inc</t>
        </is>
      </c>
      <c r="F38" t="inlineStr">
        <is>
          <t>Payment on INV-1000</t>
        </is>
      </c>
      <c r="H38" t="inlineStr">
        <is>
          <t>1100 Accounts Receivable</t>
        </is>
      </c>
      <c r="I38">
        <f>29266.31</f>
        <v/>
      </c>
      <c r="J38">
        <f>367086.31</f>
        <v/>
      </c>
    </row>
    <row r="39">
      <c r="B39" t="inlineStr">
        <is>
          <t>02/10/2025</t>
        </is>
      </c>
      <c r="C39" t="inlineStr">
        <is>
          <t>Payment</t>
        </is>
      </c>
      <c r="D39" t="inlineStr"/>
      <c r="E39" t="inlineStr">
        <is>
          <t>Volt Dynamics Inc</t>
        </is>
      </c>
      <c r="F39" t="inlineStr">
        <is>
          <t>Payment on INV-1001</t>
        </is>
      </c>
      <c r="H39" t="inlineStr">
        <is>
          <t>1100 Accounts Receivable</t>
        </is>
      </c>
      <c r="I39">
        <f>6500.00</f>
        <v/>
      </c>
      <c r="J39">
        <f>373586.31</f>
        <v/>
      </c>
    </row>
    <row r="40">
      <c r="B40" t="inlineStr">
        <is>
          <t>02/10/2025</t>
        </is>
      </c>
      <c r="C40" t="inlineStr">
        <is>
          <t>Expense</t>
        </is>
      </c>
      <c r="D40" t="inlineStr"/>
      <c r="E40" t="inlineStr">
        <is>
          <t>Northwind Supply</t>
        </is>
      </c>
      <c r="F40" t="inlineStr">
        <is>
          <t>Northwind Supply invoice 58107</t>
        </is>
      </c>
      <c r="H40" t="inlineStr">
        <is>
          <t>5000 Cost of Goods Sold - Components</t>
        </is>
      </c>
      <c r="I40">
        <f>-355.43</f>
        <v/>
      </c>
      <c r="J40">
        <f>373230.88</f>
        <v/>
      </c>
    </row>
    <row r="41">
      <c r="B41" t="inlineStr">
        <is>
          <t>02/11/2025</t>
        </is>
      </c>
      <c r="C41" t="inlineStr">
        <is>
          <t>Expense</t>
        </is>
      </c>
      <c r="D41" t="inlineStr"/>
      <c r="E41" t="inlineStr">
        <is>
          <t>Bluepeak Engineering</t>
        </is>
      </c>
      <c r="F41" t="inlineStr">
        <is>
          <t>Bluepeak Engineering invoice 93540</t>
        </is>
      </c>
      <c r="H41" t="inlineStr">
        <is>
          <t>6100 Contract Engineering</t>
        </is>
      </c>
      <c r="I41">
        <f>-1114.09</f>
        <v/>
      </c>
      <c r="J41">
        <f>372116.79</f>
        <v/>
      </c>
    </row>
    <row r="42">
      <c r="B42" t="inlineStr">
        <is>
          <t>02/12/2025</t>
        </is>
      </c>
      <c r="C42" t="inlineStr">
        <is>
          <t>Bill Payment</t>
        </is>
      </c>
      <c r="D42" t="inlineStr"/>
      <c r="E42" t="inlineStr">
        <is>
          <t>Northwind Supply</t>
        </is>
      </c>
      <c r="F42" t="inlineStr">
        <is>
          <t>Payment on NWS-4400</t>
        </is>
      </c>
      <c r="H42" t="inlineStr">
        <is>
          <t>2010 Accounts Payable</t>
        </is>
      </c>
      <c r="I42">
        <f>-9231.03</f>
        <v/>
      </c>
      <c r="J42">
        <f>362885.76</f>
        <v/>
      </c>
    </row>
    <row r="43">
      <c r="B43" t="inlineStr">
        <is>
          <t>02/12/2025</t>
        </is>
      </c>
      <c r="C43" t="inlineStr">
        <is>
          <t>Expense</t>
        </is>
      </c>
      <c r="D43" t="inlineStr"/>
      <c r="E43" t="inlineStr">
        <is>
          <t>Quartz CAD Services</t>
        </is>
      </c>
      <c r="F43" t="inlineStr">
        <is>
          <t>Quartz CAD Services invoice 48841</t>
        </is>
      </c>
      <c r="H43" t="inlineStr">
        <is>
          <t>6100 Contract Engineering</t>
        </is>
      </c>
      <c r="I43">
        <f>-670.57</f>
        <v/>
      </c>
      <c r="J43">
        <f>362215.19</f>
        <v/>
      </c>
    </row>
    <row r="44">
      <c r="B44" t="inlineStr">
        <is>
          <t>02/13/2025</t>
        </is>
      </c>
      <c r="C44" t="inlineStr">
        <is>
          <t>Expense</t>
        </is>
      </c>
      <c r="D44" t="inlineStr"/>
      <c r="E44" t="inlineStr">
        <is>
          <t>Litware Legal</t>
        </is>
      </c>
      <c r="F44" t="inlineStr">
        <is>
          <t>Litware Legal invoice 13411</t>
        </is>
      </c>
      <c r="H44" t="inlineStr">
        <is>
          <t>6800 Professional Fees</t>
        </is>
      </c>
      <c r="I44">
        <f>-774.88</f>
        <v/>
      </c>
      <c r="J44">
        <f>361440.31</f>
        <v/>
      </c>
    </row>
    <row r="45">
      <c r="B45" t="inlineStr">
        <is>
          <t>02/15/2025</t>
        </is>
      </c>
      <c r="C45" t="inlineStr">
        <is>
          <t>Expense</t>
        </is>
      </c>
      <c r="D45" t="inlineStr"/>
      <c r="E45" t="inlineStr">
        <is>
          <t>Proseware Payroll</t>
        </is>
      </c>
      <c r="F45" t="inlineStr">
        <is>
          <t>Proseware payroll debit 2025-02-15</t>
        </is>
      </c>
      <c r="H45" t="inlineStr">
        <is>
          <t>-Split-</t>
        </is>
      </c>
      <c r="I45">
        <f>-20937.92</f>
        <v/>
      </c>
      <c r="J45">
        <f>340502.39</f>
        <v/>
      </c>
    </row>
    <row r="46">
      <c r="B46" t="inlineStr">
        <is>
          <t>02/15/2025</t>
        </is>
      </c>
      <c r="C46" t="inlineStr">
        <is>
          <t>Deposit</t>
        </is>
      </c>
      <c r="D46" t="inlineStr"/>
      <c r="E46" t="inlineStr">
        <is>
          <t>Paylane</t>
        </is>
      </c>
      <c r="F46" t="inlineStr">
        <is>
          <t>Paylane payout 2025-02 #1</t>
        </is>
      </c>
      <c r="H46" t="inlineStr">
        <is>
          <t>1200 Paylane Clearing</t>
        </is>
      </c>
      <c r="I46">
        <f>13408.20</f>
        <v/>
      </c>
      <c r="J46">
        <f>353910.59</f>
        <v/>
      </c>
    </row>
    <row r="47">
      <c r="B47" t="inlineStr">
        <is>
          <t>02/16/2025</t>
        </is>
      </c>
      <c r="C47" t="inlineStr">
        <is>
          <t>Expense</t>
        </is>
      </c>
      <c r="D47" t="inlineStr"/>
      <c r="E47" t="inlineStr">
        <is>
          <t>Bluepeak Engineering</t>
        </is>
      </c>
      <c r="F47" t="inlineStr">
        <is>
          <t>Bluepeak Engineering invoice 53096</t>
        </is>
      </c>
      <c r="H47" t="inlineStr">
        <is>
          <t>6100 Contract Engineering</t>
        </is>
      </c>
      <c r="I47">
        <f>-1074.62</f>
        <v/>
      </c>
      <c r="J47">
        <f>352835.97</f>
        <v/>
      </c>
    </row>
    <row r="48">
      <c r="B48" t="inlineStr">
        <is>
          <t>02/18/2025</t>
        </is>
      </c>
      <c r="C48" t="inlineStr">
        <is>
          <t>Expense</t>
        </is>
      </c>
      <c r="D48" t="inlineStr"/>
      <c r="E48" t="inlineStr">
        <is>
          <t>Trey Research</t>
        </is>
      </c>
      <c r="F48" t="inlineStr">
        <is>
          <t>Trey Research monthly engagement</t>
        </is>
      </c>
      <c r="H48" t="inlineStr">
        <is>
          <t>6800 Professional Fees</t>
        </is>
      </c>
      <c r="I48">
        <f>-3179.36</f>
        <v/>
      </c>
      <c r="J48">
        <f>349656.61</f>
        <v/>
      </c>
    </row>
    <row r="49">
      <c r="B49" t="inlineStr">
        <is>
          <t>02/20/2025</t>
        </is>
      </c>
      <c r="C49" t="inlineStr">
        <is>
          <t>Expense</t>
        </is>
      </c>
      <c r="D49" t="inlineStr"/>
      <c r="E49" t="inlineStr">
        <is>
          <t>Bluepeak Engineering</t>
        </is>
      </c>
      <c r="F49" t="inlineStr">
        <is>
          <t>Bluepeak Engineering invoice 22348</t>
        </is>
      </c>
      <c r="H49" t="inlineStr">
        <is>
          <t>6100 Contract Engineering</t>
        </is>
      </c>
      <c r="I49">
        <f>-1728.34</f>
        <v/>
      </c>
      <c r="J49">
        <f>347928.27</f>
        <v/>
      </c>
    </row>
    <row r="50">
      <c r="B50" t="inlineStr">
        <is>
          <t>02/23/2025</t>
        </is>
      </c>
      <c r="C50" t="inlineStr">
        <is>
          <t>Expense</t>
        </is>
      </c>
      <c r="D50" t="inlineStr"/>
      <c r="E50" t="inlineStr">
        <is>
          <t>Quartz CAD Services</t>
        </is>
      </c>
      <c r="F50" t="inlineStr">
        <is>
          <t>Quartz CAD Services invoice 55591</t>
        </is>
      </c>
      <c r="H50" t="inlineStr">
        <is>
          <t>6100 Contract Engineering</t>
        </is>
      </c>
      <c r="I50">
        <f>-796.86</f>
        <v/>
      </c>
      <c r="J50">
        <f>347131.41</f>
        <v/>
      </c>
    </row>
    <row r="51">
      <c r="B51" t="inlineStr">
        <is>
          <t>02/23/2025</t>
        </is>
      </c>
      <c r="C51" t="inlineStr">
        <is>
          <t>Expense</t>
        </is>
      </c>
      <c r="D51" t="inlineStr"/>
      <c r="E51" t="inlineStr">
        <is>
          <t>Redwood Prototyping</t>
        </is>
      </c>
      <c r="F51" t="inlineStr">
        <is>
          <t>Redwood Prototyping invoice 49188</t>
        </is>
      </c>
      <c r="H51" t="inlineStr">
        <is>
          <t>6100 Contract Engineering</t>
        </is>
      </c>
      <c r="I51">
        <f>-1138.69</f>
        <v/>
      </c>
      <c r="J51">
        <f>345992.72</f>
        <v/>
      </c>
    </row>
    <row r="52">
      <c r="B52" t="inlineStr">
        <is>
          <t>02/26/2025</t>
        </is>
      </c>
      <c r="C52" t="inlineStr">
        <is>
          <t>Expense</t>
        </is>
      </c>
      <c r="D52" t="inlineStr"/>
      <c r="E52" t="inlineStr">
        <is>
          <t>Trey Research</t>
        </is>
      </c>
      <c r="F52" t="inlineStr">
        <is>
          <t>Trey Research monthly engagement</t>
        </is>
      </c>
      <c r="H52" t="inlineStr">
        <is>
          <t>6600 Marketing and Advertising</t>
        </is>
      </c>
      <c r="I52">
        <f>-3515.30</f>
        <v/>
      </c>
      <c r="J52">
        <f>342477.42</f>
        <v/>
      </c>
    </row>
    <row r="53">
      <c r="B53" t="inlineStr">
        <is>
          <t>02/28/2025</t>
        </is>
      </c>
      <c r="C53" t="inlineStr">
        <is>
          <t>Expense</t>
        </is>
      </c>
      <c r="D53" t="inlineStr"/>
      <c r="E53" t="inlineStr">
        <is>
          <t>Proseware Payroll</t>
        </is>
      </c>
      <c r="F53" t="inlineStr">
        <is>
          <t>Proseware payroll debit 2025-02-28</t>
        </is>
      </c>
      <c r="H53" t="inlineStr">
        <is>
          <t>-Split-</t>
        </is>
      </c>
      <c r="I53">
        <f>-20937.92</f>
        <v/>
      </c>
      <c r="J53">
        <f>321539.50</f>
        <v/>
      </c>
    </row>
    <row r="54">
      <c r="B54" t="inlineStr">
        <is>
          <t>02/28/2025</t>
        </is>
      </c>
      <c r="C54" t="inlineStr">
        <is>
          <t>Deposit</t>
        </is>
      </c>
      <c r="D54" t="inlineStr"/>
      <c r="E54" t="inlineStr">
        <is>
          <t>Paylane</t>
        </is>
      </c>
      <c r="F54" t="inlineStr">
        <is>
          <t>Paylane payout 2025-02 #2</t>
        </is>
      </c>
      <c r="H54" t="inlineStr">
        <is>
          <t>1200 Paylane Clearing</t>
        </is>
      </c>
      <c r="I54">
        <f>10970.35</f>
        <v/>
      </c>
      <c r="J54">
        <f>332509.85</f>
        <v/>
      </c>
    </row>
    <row r="55">
      <c r="B55" t="inlineStr">
        <is>
          <t>02/28/2025</t>
        </is>
      </c>
      <c r="C55" t="inlineStr">
        <is>
          <t>Expense</t>
        </is>
      </c>
      <c r="D55" t="inlineStr"/>
      <c r="E55" t="inlineStr">
        <is>
          <t>Northgate Bank</t>
        </is>
      </c>
      <c r="F55" t="inlineStr">
        <is>
          <t>Account analysis fee 2025-02</t>
        </is>
      </c>
      <c r="H55" t="inlineStr">
        <is>
          <t>6950 Bank and Processor Fees</t>
        </is>
      </c>
      <c r="I55">
        <f>-45.00</f>
        <v/>
      </c>
      <c r="J55">
        <f>332464.85</f>
        <v/>
      </c>
    </row>
    <row r="56">
      <c r="B56" t="inlineStr">
        <is>
          <t>03/01/2025</t>
        </is>
      </c>
      <c r="C56" t="inlineStr">
        <is>
          <t>Expense</t>
        </is>
      </c>
      <c r="D56" t="inlineStr"/>
      <c r="E56" t="inlineStr">
        <is>
          <t>Wingtip Workspace</t>
        </is>
      </c>
      <c r="F56" t="inlineStr">
        <is>
          <t>Office rent 2025-03</t>
        </is>
      </c>
      <c r="H56" t="inlineStr">
        <is>
          <t>6400 Rent</t>
        </is>
      </c>
      <c r="I56">
        <f>-6500.00</f>
        <v/>
      </c>
      <c r="J56">
        <f>325964.85</f>
        <v/>
      </c>
    </row>
    <row r="57">
      <c r="B57" t="inlineStr">
        <is>
          <t>03/03/2025</t>
        </is>
      </c>
      <c r="C57" t="inlineStr">
        <is>
          <t>Check</t>
        </is>
      </c>
      <c r="D57" t="inlineStr"/>
      <c r="E57" t="inlineStr">
        <is>
          <t>Tailspin Tools</t>
        </is>
      </c>
      <c r="F57" t="inlineStr">
        <is>
          <t>Annual platform contract 2025-03 to 2026-02</t>
        </is>
      </c>
      <c r="H57" t="inlineStr">
        <is>
          <t>1310 Prepaid Software</t>
        </is>
      </c>
      <c r="I57">
        <f>-9600.00</f>
        <v/>
      </c>
      <c r="J57">
        <f>316364.85</f>
        <v/>
      </c>
    </row>
    <row r="58">
      <c r="B58" t="inlineStr">
        <is>
          <t>03/03/2025</t>
        </is>
      </c>
      <c r="C58" t="inlineStr">
        <is>
          <t>Expense</t>
        </is>
      </c>
      <c r="D58" t="inlineStr"/>
      <c r="E58" t="inlineStr">
        <is>
          <t>Northwind Supply</t>
        </is>
      </c>
      <c r="F58" t="inlineStr">
        <is>
          <t>Northwind Supply invoice 82909</t>
        </is>
      </c>
      <c r="H58" t="inlineStr">
        <is>
          <t>5000 Cost of Goods Sold - Components</t>
        </is>
      </c>
      <c r="I58">
        <f>-350.87</f>
        <v/>
      </c>
      <c r="J58">
        <f>316013.98</f>
        <v/>
      </c>
    </row>
    <row r="59">
      <c r="B59" t="inlineStr">
        <is>
          <t>03/05/2025</t>
        </is>
      </c>
      <c r="C59" t="inlineStr">
        <is>
          <t>Expense</t>
        </is>
      </c>
      <c r="D59" t="inlineStr"/>
      <c r="E59" t="inlineStr">
        <is>
          <t>Vantage Card</t>
        </is>
      </c>
      <c r="F59" t="inlineStr">
        <is>
          <t>Vantage card payment</t>
        </is>
      </c>
      <c r="H59" t="inlineStr">
        <is>
          <t>2100 Vantage Card 3391</t>
        </is>
      </c>
      <c r="I59">
        <f>-8248.71</f>
        <v/>
      </c>
      <c r="J59">
        <f>307765.27</f>
        <v/>
      </c>
    </row>
    <row r="60">
      <c r="B60" t="inlineStr">
        <is>
          <t>03/05/2025</t>
        </is>
      </c>
      <c r="C60" t="inlineStr">
        <is>
          <t>Transfer</t>
        </is>
      </c>
      <c r="D60" t="inlineStr"/>
      <c r="E60" t="inlineStr"/>
      <c r="F60" t="inlineStr">
        <is>
          <t>Transfer to savings</t>
        </is>
      </c>
      <c r="H60" t="inlineStr">
        <is>
          <t>1020 Northgate Savings 7809</t>
        </is>
      </c>
      <c r="I60">
        <f>-5000.00</f>
        <v/>
      </c>
      <c r="J60">
        <f>302765.27</f>
        <v/>
      </c>
    </row>
    <row r="61">
      <c r="B61" t="inlineStr">
        <is>
          <t>03/07/2025</t>
        </is>
      </c>
      <c r="C61" t="inlineStr">
        <is>
          <t>Expense</t>
        </is>
      </c>
      <c r="D61" t="inlineStr"/>
      <c r="E61" t="inlineStr">
        <is>
          <t>Redwood Prototyping</t>
        </is>
      </c>
      <c r="F61" t="inlineStr">
        <is>
          <t>Redwood Prototyping invoice 11386</t>
        </is>
      </c>
      <c r="H61" t="inlineStr">
        <is>
          <t>6100 Contract Engineering</t>
        </is>
      </c>
      <c r="I61">
        <f>-346.09</f>
        <v/>
      </c>
      <c r="J61">
        <f>302419.18</f>
        <v/>
      </c>
    </row>
    <row r="62">
      <c r="B62" t="inlineStr">
        <is>
          <t>03/09/2025</t>
        </is>
      </c>
      <c r="C62" t="inlineStr">
        <is>
          <t>Expense</t>
        </is>
      </c>
      <c r="D62" t="inlineStr"/>
      <c r="E62" t="inlineStr">
        <is>
          <t>Fabrikam Freight</t>
        </is>
      </c>
      <c r="F62" t="inlineStr">
        <is>
          <t>Fabrikam Freight invoice 34825</t>
        </is>
      </c>
      <c r="H62" t="inlineStr">
        <is>
          <t>5100 Shipping and Freight</t>
        </is>
      </c>
      <c r="I62">
        <f>-765.74</f>
        <v/>
      </c>
      <c r="J62">
        <f>301653.44</f>
        <v/>
      </c>
    </row>
    <row r="63">
      <c r="B63" t="inlineStr">
        <is>
          <t>03/10/2025</t>
        </is>
      </c>
      <c r="C63" t="inlineStr">
        <is>
          <t>Payment</t>
        </is>
      </c>
      <c r="D63" t="inlineStr"/>
      <c r="E63" t="inlineStr">
        <is>
          <t>Helios Manufacturing LLC</t>
        </is>
      </c>
      <c r="F63" t="inlineStr">
        <is>
          <t>Payment on INV-1002</t>
        </is>
      </c>
      <c r="H63" t="inlineStr">
        <is>
          <t>1100 Accounts Receivable</t>
        </is>
      </c>
      <c r="I63">
        <f>30738.17</f>
        <v/>
      </c>
      <c r="J63">
        <f>332391.61</f>
        <v/>
      </c>
    </row>
    <row r="64">
      <c r="B64" t="inlineStr">
        <is>
          <t>03/10/2025</t>
        </is>
      </c>
      <c r="C64" t="inlineStr">
        <is>
          <t>Payment</t>
        </is>
      </c>
      <c r="D64" t="inlineStr"/>
      <c r="E64" t="inlineStr">
        <is>
          <t>Helios Manufacturing LLC</t>
        </is>
      </c>
      <c r="F64" t="inlineStr">
        <is>
          <t>Payment on INV-1003</t>
        </is>
      </c>
      <c r="H64" t="inlineStr">
        <is>
          <t>1100 Accounts Receivable</t>
        </is>
      </c>
      <c r="I64">
        <f>6750.00</f>
        <v/>
      </c>
      <c r="J64">
        <f>339141.61</f>
        <v/>
      </c>
    </row>
    <row r="65">
      <c r="B65" t="inlineStr">
        <is>
          <t>03/12/2025</t>
        </is>
      </c>
      <c r="C65" t="inlineStr">
        <is>
          <t>Bill Payment</t>
        </is>
      </c>
      <c r="D65" t="inlineStr"/>
      <c r="E65" t="inlineStr">
        <is>
          <t>Northwind Supply</t>
        </is>
      </c>
      <c r="F65" t="inlineStr">
        <is>
          <t>Payment on NWS-4401</t>
        </is>
      </c>
      <c r="H65" t="inlineStr">
        <is>
          <t>2010 Accounts Payable</t>
        </is>
      </c>
      <c r="I65">
        <f>-10151.29</f>
        <v/>
      </c>
      <c r="J65">
        <f>328990.32</f>
        <v/>
      </c>
    </row>
    <row r="66">
      <c r="B66" t="inlineStr">
        <is>
          <t>03/12/2025</t>
        </is>
      </c>
      <c r="C66" t="inlineStr">
        <is>
          <t>Expense</t>
        </is>
      </c>
      <c r="D66" t="inlineStr"/>
      <c r="E66" t="inlineStr">
        <is>
          <t>Fabrikam Freight</t>
        </is>
      </c>
      <c r="F66" t="inlineStr">
        <is>
          <t>Fabrikam Freight invoice 72113</t>
        </is>
      </c>
      <c r="H66" t="inlineStr">
        <is>
          <t>5100 Shipping and Freight</t>
        </is>
      </c>
      <c r="I66">
        <f>-454.24</f>
        <v/>
      </c>
      <c r="J66">
        <f>328536.08</f>
        <v/>
      </c>
    </row>
    <row r="67">
      <c r="B67" t="inlineStr">
        <is>
          <t>03/14/2025</t>
        </is>
      </c>
      <c r="C67" t="inlineStr">
        <is>
          <t>Expense</t>
        </is>
      </c>
      <c r="D67" t="inlineStr"/>
      <c r="E67" t="inlineStr">
        <is>
          <t>Bluepeak Engineering</t>
        </is>
      </c>
      <c r="F67" t="inlineStr">
        <is>
          <t>Bluepeak Engineering invoice 90791</t>
        </is>
      </c>
      <c r="H67" t="inlineStr">
        <is>
          <t>6100 Contract Engineering</t>
        </is>
      </c>
      <c r="I67">
        <f>-1284.51</f>
        <v/>
      </c>
      <c r="J67">
        <f>327251.57</f>
        <v/>
      </c>
    </row>
    <row r="68">
      <c r="B68" t="inlineStr">
        <is>
          <t>03/14/2025</t>
        </is>
      </c>
      <c r="C68" t="inlineStr">
        <is>
          <t>Expense</t>
        </is>
      </c>
      <c r="D68" t="inlineStr"/>
      <c r="E68" t="inlineStr">
        <is>
          <t>Bluepeak Engineering</t>
        </is>
      </c>
      <c r="F68" t="inlineStr">
        <is>
          <t>Bluepeak Engineering invoice 70440</t>
        </is>
      </c>
      <c r="H68" t="inlineStr">
        <is>
          <t>6100 Contract Engineering</t>
        </is>
      </c>
      <c r="I68">
        <f>-1540.18</f>
        <v/>
      </c>
      <c r="J68">
        <f>325711.39</f>
        <v/>
      </c>
    </row>
    <row r="69">
      <c r="B69" t="inlineStr">
        <is>
          <t>03/15/2025</t>
        </is>
      </c>
      <c r="C69" t="inlineStr">
        <is>
          <t>Expense</t>
        </is>
      </c>
      <c r="D69" t="inlineStr"/>
      <c r="E69" t="inlineStr">
        <is>
          <t>Proseware Payroll</t>
        </is>
      </c>
      <c r="F69" t="inlineStr">
        <is>
          <t>Proseware payroll debit 2025-03-15</t>
        </is>
      </c>
      <c r="H69" t="inlineStr">
        <is>
          <t>-Split-</t>
        </is>
      </c>
      <c r="I69">
        <f>-21422.35</f>
        <v/>
      </c>
      <c r="J69">
        <f>304289.04</f>
        <v/>
      </c>
    </row>
    <row r="70">
      <c r="B70" t="inlineStr">
        <is>
          <t>03/15/2025</t>
        </is>
      </c>
      <c r="C70" t="inlineStr">
        <is>
          <t>Deposit</t>
        </is>
      </c>
      <c r="D70" t="inlineStr"/>
      <c r="E70" t="inlineStr">
        <is>
          <t>Paylane</t>
        </is>
      </c>
      <c r="F70" t="inlineStr">
        <is>
          <t>Paylane payout 2025-03 #1</t>
        </is>
      </c>
      <c r="H70" t="inlineStr">
        <is>
          <t>1200 Paylane Clearing</t>
        </is>
      </c>
      <c r="I70">
        <f>14806.72</f>
        <v/>
      </c>
      <c r="J70">
        <f>319095.76</f>
        <v/>
      </c>
    </row>
    <row r="71">
      <c r="B71" t="inlineStr">
        <is>
          <t>03/17/2025</t>
        </is>
      </c>
      <c r="C71" t="inlineStr">
        <is>
          <t>Expense</t>
        </is>
      </c>
      <c r="D71" t="inlineStr"/>
      <c r="E71" t="inlineStr">
        <is>
          <t>Bluepeak Engineering</t>
        </is>
      </c>
      <c r="F71" t="inlineStr">
        <is>
          <t>Bluepeak Engineering invoice 99978</t>
        </is>
      </c>
      <c r="H71" t="inlineStr">
        <is>
          <t>6100 Contract Engineering</t>
        </is>
      </c>
      <c r="I71">
        <f>-1693.35</f>
        <v/>
      </c>
      <c r="J71">
        <f>317402.41</f>
        <v/>
      </c>
    </row>
    <row r="72">
      <c r="B72" t="inlineStr">
        <is>
          <t>03/17/2025</t>
        </is>
      </c>
      <c r="C72" t="inlineStr">
        <is>
          <t>Expense</t>
        </is>
      </c>
      <c r="D72" t="inlineStr"/>
      <c r="E72" t="inlineStr">
        <is>
          <t>Bluepeak Engineering</t>
        </is>
      </c>
      <c r="F72" t="inlineStr">
        <is>
          <t>Bluepeak Engineering invoice 63549</t>
        </is>
      </c>
      <c r="H72" t="inlineStr">
        <is>
          <t>6100 Contract Engineering</t>
        </is>
      </c>
      <c r="I72">
        <f>-1856.53</f>
        <v/>
      </c>
      <c r="J72">
        <f>315545.88</f>
        <v/>
      </c>
    </row>
    <row r="73">
      <c r="B73" t="inlineStr">
        <is>
          <t>03/17/2025</t>
        </is>
      </c>
      <c r="C73" t="inlineStr">
        <is>
          <t>Expense</t>
        </is>
      </c>
      <c r="D73" t="inlineStr"/>
      <c r="E73" t="inlineStr">
        <is>
          <t>Quartz CAD Services</t>
        </is>
      </c>
      <c r="F73" t="inlineStr">
        <is>
          <t>Quartz CAD Services invoice 45066</t>
        </is>
      </c>
      <c r="H73" t="inlineStr">
        <is>
          <t>6100 Contract Engineering</t>
        </is>
      </c>
      <c r="I73">
        <f>-416.46</f>
        <v/>
      </c>
      <c r="J73">
        <f>315129.42</f>
        <v/>
      </c>
    </row>
    <row r="74">
      <c r="B74" t="inlineStr">
        <is>
          <t>03/18/2025</t>
        </is>
      </c>
      <c r="C74" t="inlineStr">
        <is>
          <t>Expense</t>
        </is>
      </c>
      <c r="D74" t="inlineStr"/>
      <c r="E74" t="inlineStr">
        <is>
          <t>Trey Research</t>
        </is>
      </c>
      <c r="F74" t="inlineStr">
        <is>
          <t>Trey Research monthly engagement</t>
        </is>
      </c>
      <c r="H74" t="inlineStr">
        <is>
          <t>6100 Contract Engineering</t>
        </is>
      </c>
      <c r="I74">
        <f>-3420.88</f>
        <v/>
      </c>
      <c r="J74">
        <f>311708.54</f>
        <v/>
      </c>
    </row>
    <row r="75">
      <c r="B75" t="inlineStr">
        <is>
          <t>03/20/2025</t>
        </is>
      </c>
      <c r="C75" t="inlineStr">
        <is>
          <t>Expense</t>
        </is>
      </c>
      <c r="D75" t="inlineStr"/>
      <c r="E75" t="inlineStr">
        <is>
          <t>Litware Legal</t>
        </is>
      </c>
      <c r="F75" t="inlineStr">
        <is>
          <t>Litware Legal invoice 71263</t>
        </is>
      </c>
      <c r="H75" t="inlineStr">
        <is>
          <t>6800 Professional Fees</t>
        </is>
      </c>
      <c r="I75">
        <f>-2100.69</f>
        <v/>
      </c>
      <c r="J75">
        <f>309607.85</f>
        <v/>
      </c>
    </row>
    <row r="76">
      <c r="B76" t="inlineStr">
        <is>
          <t>03/21/2025</t>
        </is>
      </c>
      <c r="C76" t="inlineStr">
        <is>
          <t>Expense</t>
        </is>
      </c>
      <c r="D76" t="inlineStr"/>
      <c r="E76" t="inlineStr">
        <is>
          <t>Northwind Supply</t>
        </is>
      </c>
      <c r="F76" t="inlineStr">
        <is>
          <t>Northwind Supply invoice 85666</t>
        </is>
      </c>
      <c r="H76" t="inlineStr">
        <is>
          <t>5000 Cost of Goods Sold - Components</t>
        </is>
      </c>
      <c r="I76">
        <f>-759.63</f>
        <v/>
      </c>
      <c r="J76">
        <f>308848.22</f>
        <v/>
      </c>
    </row>
    <row r="77">
      <c r="B77" t="inlineStr">
        <is>
          <t>03/27/2025</t>
        </is>
      </c>
      <c r="C77" t="inlineStr">
        <is>
          <t>Expense</t>
        </is>
      </c>
      <c r="D77" t="inlineStr"/>
      <c r="E77" t="inlineStr">
        <is>
          <t>Litware Legal</t>
        </is>
      </c>
      <c r="F77" t="inlineStr">
        <is>
          <t>Litware Legal invoice 11541</t>
        </is>
      </c>
      <c r="H77" t="inlineStr">
        <is>
          <t>6800 Professional Fees</t>
        </is>
      </c>
      <c r="I77">
        <f>-456.28</f>
        <v/>
      </c>
      <c r="J77">
        <f>308391.94</f>
        <v/>
      </c>
    </row>
    <row r="78">
      <c r="B78" t="inlineStr">
        <is>
          <t>03/31/2025</t>
        </is>
      </c>
      <c r="C78" t="inlineStr">
        <is>
          <t>Expense</t>
        </is>
      </c>
      <c r="D78" t="inlineStr"/>
      <c r="E78" t="inlineStr">
        <is>
          <t>Proseware Payroll</t>
        </is>
      </c>
      <c r="F78" t="inlineStr">
        <is>
          <t>Proseware payroll debit 2025-03-31</t>
        </is>
      </c>
      <c r="H78" t="inlineStr">
        <is>
          <t>-Split-</t>
        </is>
      </c>
      <c r="I78">
        <f>-21422.35</f>
        <v/>
      </c>
      <c r="J78">
        <f>286969.59</f>
        <v/>
      </c>
    </row>
    <row r="79">
      <c r="B79" t="inlineStr">
        <is>
          <t>03/31/2025</t>
        </is>
      </c>
      <c r="C79" t="inlineStr">
        <is>
          <t>Deposit</t>
        </is>
      </c>
      <c r="D79" t="inlineStr"/>
      <c r="E79" t="inlineStr">
        <is>
          <t>Paylane</t>
        </is>
      </c>
      <c r="F79" t="inlineStr">
        <is>
          <t>Paylane payout 2025-03 #2</t>
        </is>
      </c>
      <c r="H79" t="inlineStr">
        <is>
          <t>1200 Paylane Clearing</t>
        </is>
      </c>
      <c r="I79">
        <f>12114.59</f>
        <v/>
      </c>
      <c r="J79">
        <f>299084.18</f>
        <v/>
      </c>
    </row>
    <row r="80">
      <c r="B80" t="inlineStr">
        <is>
          <t>03/31/2025</t>
        </is>
      </c>
      <c r="C80" t="inlineStr">
        <is>
          <t>Expense</t>
        </is>
      </c>
      <c r="D80" t="inlineStr"/>
      <c r="E80" t="inlineStr">
        <is>
          <t>Northgate Bank</t>
        </is>
      </c>
      <c r="F80" t="inlineStr">
        <is>
          <t>Account analysis fee 2025-03</t>
        </is>
      </c>
      <c r="H80" t="inlineStr">
        <is>
          <t>6950 Bank and Processor Fees</t>
        </is>
      </c>
      <c r="I80">
        <f>-45.00</f>
        <v/>
      </c>
      <c r="J80">
        <f>299039.18</f>
        <v/>
      </c>
    </row>
    <row r="81">
      <c r="B81" t="inlineStr">
        <is>
          <t>04/01/2025</t>
        </is>
      </c>
      <c r="C81" t="inlineStr">
        <is>
          <t>Expense</t>
        </is>
      </c>
      <c r="D81" t="inlineStr"/>
      <c r="E81" t="inlineStr">
        <is>
          <t>Wingtip Workspace</t>
        </is>
      </c>
      <c r="F81" t="inlineStr">
        <is>
          <t>Office rent 2025-04</t>
        </is>
      </c>
      <c r="H81" t="inlineStr">
        <is>
          <t>6400 Rent</t>
        </is>
      </c>
      <c r="I81">
        <f>-6500.00</f>
        <v/>
      </c>
      <c r="J81">
        <f>292539.18</f>
        <v/>
      </c>
    </row>
    <row r="82">
      <c r="B82" t="inlineStr">
        <is>
          <t>04/04/2025</t>
        </is>
      </c>
      <c r="C82" t="inlineStr">
        <is>
          <t>Expense</t>
        </is>
      </c>
      <c r="D82" t="inlineStr"/>
      <c r="E82" t="inlineStr">
        <is>
          <t>Redwood Prototyping</t>
        </is>
      </c>
      <c r="F82" t="inlineStr">
        <is>
          <t>Redwood Prototyping invoice 89494</t>
        </is>
      </c>
      <c r="H82" t="inlineStr">
        <is>
          <t>6100 Contract Engineering</t>
        </is>
      </c>
      <c r="I82">
        <f>-587.81</f>
        <v/>
      </c>
      <c r="J82">
        <f>291951.37</f>
        <v/>
      </c>
    </row>
    <row r="83">
      <c r="B83" t="inlineStr">
        <is>
          <t>04/05/2025</t>
        </is>
      </c>
      <c r="C83" t="inlineStr">
        <is>
          <t>Expense</t>
        </is>
      </c>
      <c r="D83" t="inlineStr"/>
      <c r="E83" t="inlineStr">
        <is>
          <t>Vantage Card</t>
        </is>
      </c>
      <c r="F83" t="inlineStr">
        <is>
          <t>Vantage card payment</t>
        </is>
      </c>
      <c r="H83" t="inlineStr">
        <is>
          <t>2100 Vantage Card 3391</t>
        </is>
      </c>
      <c r="I83">
        <f>-13126.90</f>
        <v/>
      </c>
      <c r="J83">
        <f>278824.47</f>
        <v/>
      </c>
    </row>
    <row r="84">
      <c r="B84" t="inlineStr">
        <is>
          <t>04/05/2025</t>
        </is>
      </c>
      <c r="C84" t="inlineStr">
        <is>
          <t>Transfer</t>
        </is>
      </c>
      <c r="D84" t="inlineStr"/>
      <c r="E84" t="inlineStr"/>
      <c r="F84" t="inlineStr">
        <is>
          <t>Transfer to savings</t>
        </is>
      </c>
      <c r="H84" t="inlineStr">
        <is>
          <t>1020 Northgate Savings 7809</t>
        </is>
      </c>
      <c r="I84">
        <f>-5000.00</f>
        <v/>
      </c>
      <c r="J84">
        <f>273824.47</f>
        <v/>
      </c>
    </row>
    <row r="85">
      <c r="B85" t="inlineStr">
        <is>
          <t>04/05/2025</t>
        </is>
      </c>
      <c r="C85" t="inlineStr">
        <is>
          <t>Expense</t>
        </is>
      </c>
      <c r="D85" t="inlineStr"/>
      <c r="E85" t="inlineStr">
        <is>
          <t>Redwood Prototyping</t>
        </is>
      </c>
      <c r="F85" t="inlineStr">
        <is>
          <t>Redwood Prototyping invoice 27132</t>
        </is>
      </c>
      <c r="H85" t="inlineStr">
        <is>
          <t>6100 Contract Engineering</t>
        </is>
      </c>
      <c r="I85">
        <f>-251.51</f>
        <v/>
      </c>
      <c r="J85">
        <f>273572.96</f>
        <v/>
      </c>
    </row>
    <row r="86">
      <c r="B86" t="inlineStr">
        <is>
          <t>04/05/2025</t>
        </is>
      </c>
      <c r="C86" t="inlineStr">
        <is>
          <t>Expense</t>
        </is>
      </c>
      <c r="D86" t="inlineStr"/>
      <c r="E86" t="inlineStr">
        <is>
          <t>Redwood Prototyping</t>
        </is>
      </c>
      <c r="F86" t="inlineStr">
        <is>
          <t>Redwood Prototyping invoice 50341</t>
        </is>
      </c>
      <c r="H86" t="inlineStr">
        <is>
          <t>6100 Contract Engineering</t>
        </is>
      </c>
      <c r="I86">
        <f>-791.70</f>
        <v/>
      </c>
      <c r="J86">
        <f>272781.26</f>
        <v/>
      </c>
    </row>
    <row r="87">
      <c r="B87" t="inlineStr">
        <is>
          <t>04/07/2025</t>
        </is>
      </c>
      <c r="C87" t="inlineStr">
        <is>
          <t>Expense</t>
        </is>
      </c>
      <c r="D87" t="inlineStr"/>
      <c r="E87" t="inlineStr">
        <is>
          <t>Fabrikam Freight</t>
        </is>
      </c>
      <c r="F87" t="inlineStr">
        <is>
          <t>Fabrikam Freight invoice 33875</t>
        </is>
      </c>
      <c r="H87" t="inlineStr">
        <is>
          <t>5100 Shipping and Freight</t>
        </is>
      </c>
      <c r="I87">
        <f>-595.64</f>
        <v/>
      </c>
      <c r="J87">
        <f>272185.62</f>
        <v/>
      </c>
    </row>
    <row r="88">
      <c r="B88" t="inlineStr">
        <is>
          <t>04/08/2025</t>
        </is>
      </c>
      <c r="C88" t="inlineStr">
        <is>
          <t>Expense</t>
        </is>
      </c>
      <c r="D88" t="inlineStr"/>
      <c r="E88" t="inlineStr">
        <is>
          <t>Fabrikam Freight</t>
        </is>
      </c>
      <c r="F88" t="inlineStr">
        <is>
          <t>Fabrikam Freight invoice 54080</t>
        </is>
      </c>
      <c r="H88" t="inlineStr">
        <is>
          <t>5100 Shipping and Freight</t>
        </is>
      </c>
      <c r="I88">
        <f>-776.37</f>
        <v/>
      </c>
      <c r="J88">
        <f>271409.25</f>
        <v/>
      </c>
    </row>
    <row r="89">
      <c r="B89" t="inlineStr">
        <is>
          <t>04/08/2025</t>
        </is>
      </c>
      <c r="C89" t="inlineStr">
        <is>
          <t>Expense</t>
        </is>
      </c>
      <c r="D89" t="inlineStr"/>
      <c r="E89" t="inlineStr">
        <is>
          <t>Fabrikam Freight</t>
        </is>
      </c>
      <c r="F89" t="inlineStr">
        <is>
          <t>Fabrikam Freight invoice 73530</t>
        </is>
      </c>
      <c r="H89" t="inlineStr">
        <is>
          <t>5100 Shipping and Freight</t>
        </is>
      </c>
      <c r="I89">
        <f>-716.93</f>
        <v/>
      </c>
      <c r="J89">
        <f>270692.32</f>
        <v/>
      </c>
    </row>
    <row r="90">
      <c r="B90" t="inlineStr">
        <is>
          <t>04/08/2025</t>
        </is>
      </c>
      <c r="C90" t="inlineStr">
        <is>
          <t>Expense</t>
        </is>
      </c>
      <c r="D90" t="inlineStr"/>
      <c r="E90" t="inlineStr">
        <is>
          <t>Litware Legal</t>
        </is>
      </c>
      <c r="F90" t="inlineStr">
        <is>
          <t>Litware Legal invoice 86350</t>
        </is>
      </c>
      <c r="H90" t="inlineStr">
        <is>
          <t>6800 Professional Fees</t>
        </is>
      </c>
      <c r="I90">
        <f>-1679.17</f>
        <v/>
      </c>
      <c r="J90">
        <f>269013.15</f>
        <v/>
      </c>
    </row>
    <row r="91">
      <c r="B91" t="inlineStr">
        <is>
          <t>04/10/2025</t>
        </is>
      </c>
      <c r="C91" t="inlineStr">
        <is>
          <t>Payment</t>
        </is>
      </c>
      <c r="D91" t="inlineStr"/>
      <c r="E91" t="inlineStr">
        <is>
          <t>Meridian Automation Co</t>
        </is>
      </c>
      <c r="F91" t="inlineStr">
        <is>
          <t>Payment on INV-1004</t>
        </is>
      </c>
      <c r="H91" t="inlineStr">
        <is>
          <t>1100 Accounts Receivable</t>
        </is>
      </c>
      <c r="I91">
        <f>34853.19</f>
        <v/>
      </c>
      <c r="J91">
        <f>303866.34</f>
        <v/>
      </c>
    </row>
    <row r="92">
      <c r="B92" t="inlineStr">
        <is>
          <t>04/10/2025</t>
        </is>
      </c>
      <c r="C92" t="inlineStr">
        <is>
          <t>Payment</t>
        </is>
      </c>
      <c r="D92" t="inlineStr"/>
      <c r="E92" t="inlineStr">
        <is>
          <t>Meridian Automation Co</t>
        </is>
      </c>
      <c r="F92" t="inlineStr">
        <is>
          <t>Payment on INV-1005</t>
        </is>
      </c>
      <c r="H92" t="inlineStr">
        <is>
          <t>1100 Accounts Receivable</t>
        </is>
      </c>
      <c r="I92">
        <f>7000.00</f>
        <v/>
      </c>
      <c r="J92">
        <f>310866.34</f>
        <v/>
      </c>
    </row>
    <row r="93">
      <c r="B93" t="inlineStr">
        <is>
          <t>04/11/2025</t>
        </is>
      </c>
      <c r="C93" t="inlineStr">
        <is>
          <t>Expense</t>
        </is>
      </c>
      <c r="D93" t="inlineStr"/>
      <c r="E93" t="inlineStr">
        <is>
          <t>Redwood Prototyping</t>
        </is>
      </c>
      <c r="F93" t="inlineStr">
        <is>
          <t>Redwood Prototyping invoice 57291</t>
        </is>
      </c>
      <c r="H93" t="inlineStr">
        <is>
          <t>6100 Contract Engineering</t>
        </is>
      </c>
      <c r="I93">
        <f>-947.59</f>
        <v/>
      </c>
      <c r="J93">
        <f>309918.75</f>
        <v/>
      </c>
    </row>
    <row r="94">
      <c r="B94" t="inlineStr">
        <is>
          <t>04/11/2025</t>
        </is>
      </c>
      <c r="C94" t="inlineStr">
        <is>
          <t>Expense</t>
        </is>
      </c>
      <c r="D94" t="inlineStr"/>
      <c r="E94" t="inlineStr">
        <is>
          <t>Northwind Supply</t>
        </is>
      </c>
      <c r="F94" t="inlineStr">
        <is>
          <t>Northwind Supply invoice 50561</t>
        </is>
      </c>
      <c r="H94" t="inlineStr">
        <is>
          <t>5000 Cost of Goods Sold - Components</t>
        </is>
      </c>
      <c r="I94">
        <f>-996.10</f>
        <v/>
      </c>
      <c r="J94">
        <f>308922.65</f>
        <v/>
      </c>
    </row>
    <row r="95">
      <c r="B95" t="inlineStr">
        <is>
          <t>04/12/2025</t>
        </is>
      </c>
      <c r="C95" t="inlineStr">
        <is>
          <t>Bill Payment</t>
        </is>
      </c>
      <c r="D95" t="inlineStr"/>
      <c r="E95" t="inlineStr">
        <is>
          <t>Northwind Supply</t>
        </is>
      </c>
      <c r="F95" t="inlineStr">
        <is>
          <t>Payment on NWS-4402</t>
        </is>
      </c>
      <c r="H95" t="inlineStr">
        <is>
          <t>2010 Accounts Payable</t>
        </is>
      </c>
      <c r="I95">
        <f>-9794.01</f>
        <v/>
      </c>
      <c r="J95">
        <f>299128.64</f>
        <v/>
      </c>
    </row>
    <row r="96">
      <c r="B96" t="inlineStr">
        <is>
          <t>04/12/2025</t>
        </is>
      </c>
      <c r="C96" t="inlineStr">
        <is>
          <t>Expense</t>
        </is>
      </c>
      <c r="D96" t="inlineStr"/>
      <c r="E96" t="inlineStr">
        <is>
          <t>Fabrikam Freight</t>
        </is>
      </c>
      <c r="F96" t="inlineStr">
        <is>
          <t>Fabrikam Freight invoice 74423</t>
        </is>
      </c>
      <c r="H96" t="inlineStr">
        <is>
          <t>5100 Shipping and Freight</t>
        </is>
      </c>
      <c r="I96">
        <f>-349.66</f>
        <v/>
      </c>
      <c r="J96">
        <f>298778.98</f>
        <v/>
      </c>
    </row>
    <row r="97">
      <c r="B97" t="inlineStr">
        <is>
          <t>04/12/2025</t>
        </is>
      </c>
      <c r="C97" t="inlineStr">
        <is>
          <t>Expense</t>
        </is>
      </c>
      <c r="D97" t="inlineStr"/>
      <c r="E97" t="inlineStr">
        <is>
          <t>Quartz CAD Services</t>
        </is>
      </c>
      <c r="F97" t="inlineStr">
        <is>
          <t>Quartz CAD Services invoice 60808</t>
        </is>
      </c>
      <c r="H97" t="inlineStr">
        <is>
          <t>6100 Contract Engineering</t>
        </is>
      </c>
      <c r="I97">
        <f>-510.07</f>
        <v/>
      </c>
      <c r="J97">
        <f>298268.91</f>
        <v/>
      </c>
    </row>
    <row r="98">
      <c r="B98" t="inlineStr">
        <is>
          <t>04/15/2025</t>
        </is>
      </c>
      <c r="C98" t="inlineStr">
        <is>
          <t>Expense</t>
        </is>
      </c>
      <c r="D98" t="inlineStr"/>
      <c r="E98" t="inlineStr">
        <is>
          <t>Proseware Payroll</t>
        </is>
      </c>
      <c r="F98" t="inlineStr">
        <is>
          <t>Proseware payroll debit 2025-04-15</t>
        </is>
      </c>
      <c r="H98" t="inlineStr">
        <is>
          <t>-Split-</t>
        </is>
      </c>
      <c r="I98">
        <f>-21906.78</f>
        <v/>
      </c>
      <c r="J98">
        <f>276362.13</f>
        <v/>
      </c>
    </row>
    <row r="99">
      <c r="B99" t="inlineStr">
        <is>
          <t>04/15/2025</t>
        </is>
      </c>
      <c r="C99" t="inlineStr">
        <is>
          <t>Deposit</t>
        </is>
      </c>
      <c r="D99" t="inlineStr"/>
      <c r="E99" t="inlineStr">
        <is>
          <t>Paylane</t>
        </is>
      </c>
      <c r="F99" t="inlineStr">
        <is>
          <t>Paylane payout 2025-04 #1</t>
        </is>
      </c>
      <c r="H99" t="inlineStr">
        <is>
          <t>1200 Paylane Clearing</t>
        </is>
      </c>
      <c r="I99">
        <f>14908.69</f>
        <v/>
      </c>
      <c r="J99">
        <f>291270.82</f>
        <v/>
      </c>
    </row>
    <row r="100">
      <c r="B100" t="inlineStr">
        <is>
          <t>04/15/2025</t>
        </is>
      </c>
      <c r="C100" t="inlineStr">
        <is>
          <t>Expense</t>
        </is>
      </c>
      <c r="D100" t="inlineStr"/>
      <c r="E100" t="inlineStr">
        <is>
          <t>Quartz CAD Services</t>
        </is>
      </c>
      <c r="F100" t="inlineStr">
        <is>
          <t>Quartz CAD Services invoice 16305</t>
        </is>
      </c>
      <c r="H100" t="inlineStr">
        <is>
          <t>6100 Contract Engineering</t>
        </is>
      </c>
      <c r="I100">
        <f>-875.65</f>
        <v/>
      </c>
      <c r="J100">
        <f>290395.17</f>
        <v/>
      </c>
    </row>
    <row r="101">
      <c r="B101" t="inlineStr">
        <is>
          <t>04/15/2025</t>
        </is>
      </c>
      <c r="C101" t="inlineStr">
        <is>
          <t>Expense</t>
        </is>
      </c>
      <c r="D101" t="inlineStr"/>
      <c r="E101" t="inlineStr">
        <is>
          <t>Fabrikam Freight</t>
        </is>
      </c>
      <c r="F101" t="inlineStr">
        <is>
          <t>Fabrikam Freight invoice 86611</t>
        </is>
      </c>
      <c r="H101" t="inlineStr">
        <is>
          <t>5100 Shipping and Freight</t>
        </is>
      </c>
      <c r="I101">
        <f>-456.84</f>
        <v/>
      </c>
      <c r="J101">
        <f>289938.33</f>
        <v/>
      </c>
    </row>
    <row r="102">
      <c r="B102" t="inlineStr">
        <is>
          <t>04/15/2025</t>
        </is>
      </c>
      <c r="C102" t="inlineStr">
        <is>
          <t>Expense</t>
        </is>
      </c>
      <c r="D102" t="inlineStr"/>
      <c r="E102" t="inlineStr">
        <is>
          <t>Bluepeak Engineering</t>
        </is>
      </c>
      <c r="F102" t="inlineStr">
        <is>
          <t>Bluepeak Engineering invoice 26194</t>
        </is>
      </c>
      <c r="H102" t="inlineStr">
        <is>
          <t>6100 Contract Engineering</t>
        </is>
      </c>
      <c r="I102">
        <f>-1687.14</f>
        <v/>
      </c>
      <c r="J102">
        <f>288251.19</f>
        <v/>
      </c>
    </row>
    <row r="103">
      <c r="B103" t="inlineStr">
        <is>
          <t>04/18/2025</t>
        </is>
      </c>
      <c r="C103" t="inlineStr">
        <is>
          <t>Expense</t>
        </is>
      </c>
      <c r="D103" t="inlineStr"/>
      <c r="E103" t="inlineStr">
        <is>
          <t>Trey Research</t>
        </is>
      </c>
      <c r="F103" t="inlineStr">
        <is>
          <t>Trey Research monthly engagement</t>
        </is>
      </c>
      <c r="H103" t="inlineStr">
        <is>
          <t>6800 Professional Fees</t>
        </is>
      </c>
      <c r="I103">
        <f>-5503.65</f>
        <v/>
      </c>
      <c r="J103">
        <f>282747.54</f>
        <v/>
      </c>
    </row>
    <row r="104">
      <c r="B104" t="inlineStr">
        <is>
          <t>04/18/2025</t>
        </is>
      </c>
      <c r="C104" t="inlineStr">
        <is>
          <t>Expense</t>
        </is>
      </c>
      <c r="D104" t="inlineStr"/>
      <c r="E104" t="inlineStr">
        <is>
          <t>Bluepeak Engineering</t>
        </is>
      </c>
      <c r="F104" t="inlineStr">
        <is>
          <t>Bluepeak Engineering invoice 66963</t>
        </is>
      </c>
      <c r="H104" t="inlineStr">
        <is>
          <t>6100 Contract Engineering</t>
        </is>
      </c>
      <c r="I104">
        <f>-1356.28</f>
        <v/>
      </c>
      <c r="J104">
        <f>281391.26</f>
        <v/>
      </c>
    </row>
    <row r="105">
      <c r="B105" t="inlineStr">
        <is>
          <t>04/22/2025</t>
        </is>
      </c>
      <c r="C105" t="inlineStr">
        <is>
          <t>Expense</t>
        </is>
      </c>
      <c r="D105" t="inlineStr"/>
      <c r="E105" t="inlineStr">
        <is>
          <t>Northwind Supply</t>
        </is>
      </c>
      <c r="F105" t="inlineStr">
        <is>
          <t>Northwind Supply invoice 19564</t>
        </is>
      </c>
      <c r="H105" t="inlineStr">
        <is>
          <t>5000 Cost of Goods Sold - Components</t>
        </is>
      </c>
      <c r="I105">
        <f>-472.20</f>
        <v/>
      </c>
      <c r="J105">
        <f>280919.06</f>
        <v/>
      </c>
    </row>
    <row r="106">
      <c r="B106" t="inlineStr">
        <is>
          <t>04/23/2025</t>
        </is>
      </c>
      <c r="C106" t="inlineStr">
        <is>
          <t>Expense</t>
        </is>
      </c>
      <c r="D106" t="inlineStr"/>
      <c r="E106" t="inlineStr">
        <is>
          <t>Northwind Supply</t>
        </is>
      </c>
      <c r="F106" t="inlineStr">
        <is>
          <t>Northwind Supply invoice 14717</t>
        </is>
      </c>
      <c r="H106" t="inlineStr">
        <is>
          <t>5000 Cost of Goods Sold - Components</t>
        </is>
      </c>
      <c r="I106">
        <f>-408.57</f>
        <v/>
      </c>
      <c r="J106">
        <f>280510.49</f>
        <v/>
      </c>
    </row>
    <row r="107">
      <c r="B107" t="inlineStr">
        <is>
          <t>04/23/2025</t>
        </is>
      </c>
      <c r="C107" t="inlineStr">
        <is>
          <t>Expense</t>
        </is>
      </c>
      <c r="D107" t="inlineStr"/>
      <c r="E107" t="inlineStr">
        <is>
          <t>Fabrikam Freight</t>
        </is>
      </c>
      <c r="F107" t="inlineStr">
        <is>
          <t>Fabrikam Freight invoice 34818</t>
        </is>
      </c>
      <c r="H107" t="inlineStr">
        <is>
          <t>5100 Shipping and Freight</t>
        </is>
      </c>
      <c r="I107">
        <f>-585.02</f>
        <v/>
      </c>
      <c r="J107">
        <f>279925.47</f>
        <v/>
      </c>
    </row>
    <row r="108">
      <c r="B108" t="inlineStr">
        <is>
          <t>04/26/2025</t>
        </is>
      </c>
      <c r="C108" t="inlineStr">
        <is>
          <t>Expense</t>
        </is>
      </c>
      <c r="D108" t="inlineStr"/>
      <c r="E108" t="inlineStr">
        <is>
          <t>Litware Legal</t>
        </is>
      </c>
      <c r="F108" t="inlineStr">
        <is>
          <t>Litware Legal invoice 44825</t>
        </is>
      </c>
      <c r="H108" t="inlineStr">
        <is>
          <t>6800 Professional Fees</t>
        </is>
      </c>
      <c r="I108">
        <f>-1093.26</f>
        <v/>
      </c>
      <c r="J108">
        <f>278832.21</f>
        <v/>
      </c>
    </row>
    <row r="109">
      <c r="B109" t="inlineStr">
        <is>
          <t>04/27/2025</t>
        </is>
      </c>
      <c r="C109" t="inlineStr">
        <is>
          <t>Expense</t>
        </is>
      </c>
      <c r="D109" t="inlineStr"/>
      <c r="E109" t="inlineStr">
        <is>
          <t>Quartz CAD Services</t>
        </is>
      </c>
      <c r="F109" t="inlineStr">
        <is>
          <t>Quartz CAD Services invoice 47424</t>
        </is>
      </c>
      <c r="H109" t="inlineStr">
        <is>
          <t>6100 Contract Engineering</t>
        </is>
      </c>
      <c r="I109">
        <f>-581.51</f>
        <v/>
      </c>
      <c r="J109">
        <f>278250.70</f>
        <v/>
      </c>
    </row>
    <row r="110">
      <c r="B110" t="inlineStr">
        <is>
          <t>04/27/2025</t>
        </is>
      </c>
      <c r="C110" t="inlineStr">
        <is>
          <t>Expense</t>
        </is>
      </c>
      <c r="D110" t="inlineStr"/>
      <c r="E110" t="inlineStr">
        <is>
          <t>Redwood Prototyping</t>
        </is>
      </c>
      <c r="F110" t="inlineStr">
        <is>
          <t>Redwood Prototyping invoice 44597</t>
        </is>
      </c>
      <c r="H110" t="inlineStr">
        <is>
          <t>6100 Contract Engineering</t>
        </is>
      </c>
      <c r="I110">
        <f>-358.05</f>
        <v/>
      </c>
      <c r="J110">
        <f>277892.65</f>
        <v/>
      </c>
    </row>
    <row r="111">
      <c r="B111" t="inlineStr">
        <is>
          <t>04/30/2025</t>
        </is>
      </c>
      <c r="C111" t="inlineStr">
        <is>
          <t>Expense</t>
        </is>
      </c>
      <c r="D111" t="inlineStr"/>
      <c r="E111" t="inlineStr">
        <is>
          <t>Proseware Payroll</t>
        </is>
      </c>
      <c r="F111" t="inlineStr">
        <is>
          <t>Proseware payroll debit 2025-04-30</t>
        </is>
      </c>
      <c r="H111" t="inlineStr">
        <is>
          <t>-Split-</t>
        </is>
      </c>
      <c r="I111">
        <f>-21906.78</f>
        <v/>
      </c>
      <c r="J111">
        <f>255985.87</f>
        <v/>
      </c>
    </row>
    <row r="112">
      <c r="B112" t="inlineStr">
        <is>
          <t>04/30/2025</t>
        </is>
      </c>
      <c r="C112" t="inlineStr">
        <is>
          <t>Deposit</t>
        </is>
      </c>
      <c r="D112" t="inlineStr"/>
      <c r="E112" t="inlineStr">
        <is>
          <t>Paylane</t>
        </is>
      </c>
      <c r="F112" t="inlineStr">
        <is>
          <t>Paylane payout 2025-04 #2</t>
        </is>
      </c>
      <c r="H112" t="inlineStr">
        <is>
          <t>1200 Paylane Clearing</t>
        </is>
      </c>
      <c r="I112">
        <f>12198.02</f>
        <v/>
      </c>
      <c r="J112">
        <f>268183.89</f>
        <v/>
      </c>
    </row>
    <row r="113">
      <c r="B113" t="inlineStr">
        <is>
          <t>04/30/2025</t>
        </is>
      </c>
      <c r="C113" t="inlineStr">
        <is>
          <t>Expense</t>
        </is>
      </c>
      <c r="D113" t="inlineStr"/>
      <c r="E113" t="inlineStr">
        <is>
          <t>Northgate Bank</t>
        </is>
      </c>
      <c r="F113" t="inlineStr">
        <is>
          <t>Account analysis fee 2025-04</t>
        </is>
      </c>
      <c r="H113" t="inlineStr">
        <is>
          <t>6950 Bank and Processor Fees</t>
        </is>
      </c>
      <c r="I113">
        <f>-45.00</f>
        <v/>
      </c>
      <c r="J113">
        <f>268138.89</f>
        <v/>
      </c>
    </row>
    <row r="114">
      <c r="B114" t="inlineStr">
        <is>
          <t>05/01/2025</t>
        </is>
      </c>
      <c r="C114" t="inlineStr">
        <is>
          <t>Expense</t>
        </is>
      </c>
      <c r="D114" t="inlineStr"/>
      <c r="E114" t="inlineStr">
        <is>
          <t>Wingtip Workspace</t>
        </is>
      </c>
      <c r="F114" t="inlineStr">
        <is>
          <t>Office rent 2025-05</t>
        </is>
      </c>
      <c r="H114" t="inlineStr">
        <is>
          <t>6400 Rent</t>
        </is>
      </c>
      <c r="I114">
        <f>-6500.00</f>
        <v/>
      </c>
      <c r="J114">
        <f>261638.89</f>
        <v/>
      </c>
    </row>
    <row r="115">
      <c r="B115" t="inlineStr">
        <is>
          <t>05/04/2025</t>
        </is>
      </c>
      <c r="C115" t="inlineStr">
        <is>
          <t>Expense</t>
        </is>
      </c>
      <c r="D115" t="inlineStr"/>
      <c r="E115" t="inlineStr">
        <is>
          <t>Quartz CAD Services</t>
        </is>
      </c>
      <c r="F115" t="inlineStr">
        <is>
          <t>Quartz CAD Services invoice 96978</t>
        </is>
      </c>
      <c r="H115" t="inlineStr">
        <is>
          <t>6100 Contract Engineering</t>
        </is>
      </c>
      <c r="I115">
        <f>-181.65</f>
        <v/>
      </c>
      <c r="J115">
        <f>261457.24</f>
        <v/>
      </c>
    </row>
    <row r="116">
      <c r="B116" t="inlineStr">
        <is>
          <t>05/04/2025</t>
        </is>
      </c>
      <c r="C116" t="inlineStr">
        <is>
          <t>Expense</t>
        </is>
      </c>
      <c r="D116" t="inlineStr"/>
      <c r="E116" t="inlineStr">
        <is>
          <t>Bluepeak Engineering</t>
        </is>
      </c>
      <c r="F116" t="inlineStr">
        <is>
          <t>Bluepeak Engineering invoice 21217</t>
        </is>
      </c>
      <c r="H116" t="inlineStr">
        <is>
          <t>6100 Contract Engineering</t>
        </is>
      </c>
      <c r="I116">
        <f>-587.00</f>
        <v/>
      </c>
      <c r="J116">
        <f>260870.24</f>
        <v/>
      </c>
    </row>
    <row r="117">
      <c r="B117" t="inlineStr">
        <is>
          <t>05/05/2025</t>
        </is>
      </c>
      <c r="C117" t="inlineStr">
        <is>
          <t>Expense</t>
        </is>
      </c>
      <c r="D117" t="inlineStr"/>
      <c r="E117" t="inlineStr">
        <is>
          <t>Vantage Card</t>
        </is>
      </c>
      <c r="F117" t="inlineStr">
        <is>
          <t>Vantage card payment</t>
        </is>
      </c>
      <c r="H117" t="inlineStr">
        <is>
          <t>2100 Vantage Card 3391</t>
        </is>
      </c>
      <c r="I117">
        <f>-5680.12</f>
        <v/>
      </c>
      <c r="J117">
        <f>255190.12</f>
        <v/>
      </c>
    </row>
    <row r="118">
      <c r="B118" t="inlineStr">
        <is>
          <t>05/05/2025</t>
        </is>
      </c>
      <c r="C118" t="inlineStr">
        <is>
          <t>Transfer</t>
        </is>
      </c>
      <c r="D118" t="inlineStr"/>
      <c r="E118" t="inlineStr"/>
      <c r="F118" t="inlineStr">
        <is>
          <t>Transfer to savings</t>
        </is>
      </c>
      <c r="H118" t="inlineStr">
        <is>
          <t>1020 Northgate Savings 7809</t>
        </is>
      </c>
      <c r="I118">
        <f>-5000.00</f>
        <v/>
      </c>
      <c r="J118">
        <f>250190.12</f>
        <v/>
      </c>
    </row>
    <row r="119">
      <c r="B119" t="inlineStr">
        <is>
          <t>05/05/2025</t>
        </is>
      </c>
      <c r="C119" t="inlineStr">
        <is>
          <t>Expense</t>
        </is>
      </c>
      <c r="D119" t="inlineStr"/>
      <c r="E119" t="inlineStr">
        <is>
          <t>Quartz CAD Services</t>
        </is>
      </c>
      <c r="F119" t="inlineStr">
        <is>
          <t>Quartz CAD Services invoice 10294</t>
        </is>
      </c>
      <c r="H119" t="inlineStr">
        <is>
          <t>6100 Contract Engineering</t>
        </is>
      </c>
      <c r="I119">
        <f>-754.69</f>
        <v/>
      </c>
      <c r="J119">
        <f>249435.43</f>
        <v/>
      </c>
    </row>
    <row r="120">
      <c r="B120" t="inlineStr">
        <is>
          <t>05/05/2025</t>
        </is>
      </c>
      <c r="C120" t="inlineStr">
        <is>
          <t>Expense</t>
        </is>
      </c>
      <c r="D120" t="inlineStr"/>
      <c r="E120" t="inlineStr">
        <is>
          <t>Quartz CAD Services</t>
        </is>
      </c>
      <c r="F120" t="inlineStr">
        <is>
          <t>Quartz CAD Services invoice 11550</t>
        </is>
      </c>
      <c r="H120" t="inlineStr">
        <is>
          <t>6100 Contract Engineering</t>
        </is>
      </c>
      <c r="I120">
        <f>-771.03</f>
        <v/>
      </c>
      <c r="J120">
        <f>248664.40</f>
        <v/>
      </c>
    </row>
    <row r="121">
      <c r="B121" t="inlineStr">
        <is>
          <t>05/07/2025</t>
        </is>
      </c>
      <c r="C121" t="inlineStr">
        <is>
          <t>Expense</t>
        </is>
      </c>
      <c r="D121" t="inlineStr"/>
      <c r="E121" t="inlineStr">
        <is>
          <t>Redwood Prototyping</t>
        </is>
      </c>
      <c r="F121" t="inlineStr">
        <is>
          <t>Redwood Prototyping invoice 97400</t>
        </is>
      </c>
      <c r="H121" t="inlineStr">
        <is>
          <t>6100 Contract Engineering</t>
        </is>
      </c>
      <c r="I121">
        <f>-1094.90</f>
        <v/>
      </c>
      <c r="J121">
        <f>247569.50</f>
        <v/>
      </c>
    </row>
    <row r="122">
      <c r="B122" t="inlineStr">
        <is>
          <t>05/10/2025</t>
        </is>
      </c>
      <c r="C122" t="inlineStr">
        <is>
          <t>Payment</t>
        </is>
      </c>
      <c r="D122" t="inlineStr"/>
      <c r="E122" t="inlineStr">
        <is>
          <t>Corvus Labs Inc</t>
        </is>
      </c>
      <c r="F122" t="inlineStr">
        <is>
          <t>Payment on INV-1006</t>
        </is>
      </c>
      <c r="H122" t="inlineStr">
        <is>
          <t>1100 Accounts Receivable</t>
        </is>
      </c>
      <c r="I122">
        <f>37063.32</f>
        <v/>
      </c>
      <c r="J122">
        <f>284632.82</f>
        <v/>
      </c>
    </row>
    <row r="123">
      <c r="B123" t="inlineStr">
        <is>
          <t>05/10/2025</t>
        </is>
      </c>
      <c r="C123" t="inlineStr">
        <is>
          <t>Payment</t>
        </is>
      </c>
      <c r="D123" t="inlineStr"/>
      <c r="E123" t="inlineStr">
        <is>
          <t>Corvus Labs Inc</t>
        </is>
      </c>
      <c r="F123" t="inlineStr">
        <is>
          <t>Payment on INV-1007</t>
        </is>
      </c>
      <c r="H123" t="inlineStr">
        <is>
          <t>1100 Accounts Receivable</t>
        </is>
      </c>
      <c r="I123">
        <f>7250.00</f>
        <v/>
      </c>
      <c r="J123">
        <f>291882.82</f>
        <v/>
      </c>
    </row>
    <row r="124">
      <c r="B124" t="inlineStr">
        <is>
          <t>05/10/2025</t>
        </is>
      </c>
      <c r="C124" t="inlineStr">
        <is>
          <t>Expense</t>
        </is>
      </c>
      <c r="D124" t="inlineStr"/>
      <c r="E124" t="inlineStr">
        <is>
          <t>Litware Legal</t>
        </is>
      </c>
      <c r="F124" t="inlineStr">
        <is>
          <t>Litware Legal invoice 97657</t>
        </is>
      </c>
      <c r="H124" t="inlineStr">
        <is>
          <t>6800 Professional Fees</t>
        </is>
      </c>
      <c r="I124">
        <f>-622.05</f>
        <v/>
      </c>
      <c r="J124">
        <f>291260.77</f>
        <v/>
      </c>
    </row>
    <row r="125">
      <c r="B125" t="inlineStr">
        <is>
          <t>05/12/2025</t>
        </is>
      </c>
      <c r="C125" t="inlineStr">
        <is>
          <t>Bill Payment</t>
        </is>
      </c>
      <c r="D125" t="inlineStr"/>
      <c r="E125" t="inlineStr">
        <is>
          <t>Northwind Supply</t>
        </is>
      </c>
      <c r="F125" t="inlineStr">
        <is>
          <t>Payment on NWS-4403</t>
        </is>
      </c>
      <c r="H125" t="inlineStr">
        <is>
          <t>2010 Accounts Payable</t>
        </is>
      </c>
      <c r="I125">
        <f>-10628.94</f>
        <v/>
      </c>
      <c r="J125">
        <f>280631.83</f>
        <v/>
      </c>
    </row>
    <row r="126">
      <c r="B126" t="inlineStr">
        <is>
          <t>05/12/2025</t>
        </is>
      </c>
      <c r="C126" t="inlineStr">
        <is>
          <t>Expense</t>
        </is>
      </c>
      <c r="D126" t="inlineStr"/>
      <c r="E126" t="inlineStr">
        <is>
          <t>Litware Legal</t>
        </is>
      </c>
      <c r="F126" t="inlineStr">
        <is>
          <t>Litware Legal invoice 19938</t>
        </is>
      </c>
      <c r="H126" t="inlineStr">
        <is>
          <t>6800 Professional Fees</t>
        </is>
      </c>
      <c r="I126">
        <f>-2204.70</f>
        <v/>
      </c>
      <c r="J126">
        <f>278427.13</f>
        <v/>
      </c>
    </row>
    <row r="127">
      <c r="B127" t="inlineStr">
        <is>
          <t>05/12/2025</t>
        </is>
      </c>
      <c r="C127" t="inlineStr">
        <is>
          <t>Expense</t>
        </is>
      </c>
      <c r="D127" t="inlineStr"/>
      <c r="E127" t="inlineStr">
        <is>
          <t>Quartz CAD Services</t>
        </is>
      </c>
      <c r="F127" t="inlineStr">
        <is>
          <t>Quartz CAD Services invoice 49132</t>
        </is>
      </c>
      <c r="H127" t="inlineStr">
        <is>
          <t>6100 Contract Engineering</t>
        </is>
      </c>
      <c r="I127">
        <f>-314.47</f>
        <v/>
      </c>
      <c r="J127">
        <f>278112.66</f>
        <v/>
      </c>
    </row>
    <row r="128">
      <c r="B128" t="inlineStr">
        <is>
          <t>05/14/2025</t>
        </is>
      </c>
      <c r="C128" t="inlineStr">
        <is>
          <t>Expense</t>
        </is>
      </c>
      <c r="D128" t="inlineStr"/>
      <c r="E128" t="inlineStr">
        <is>
          <t>Litware Legal</t>
        </is>
      </c>
      <c r="F128" t="inlineStr">
        <is>
          <t>Litware Legal invoice 58203</t>
        </is>
      </c>
      <c r="H128" t="inlineStr">
        <is>
          <t>6800 Professional Fees</t>
        </is>
      </c>
      <c r="I128">
        <f>-1618.44</f>
        <v/>
      </c>
      <c r="J128">
        <f>276494.22</f>
        <v/>
      </c>
    </row>
    <row r="129">
      <c r="B129" t="inlineStr">
        <is>
          <t>05/15/2025</t>
        </is>
      </c>
      <c r="C129" t="inlineStr">
        <is>
          <t>Expense</t>
        </is>
      </c>
      <c r="D129" t="inlineStr"/>
      <c r="E129" t="inlineStr">
        <is>
          <t>Proseware Payroll</t>
        </is>
      </c>
      <c r="F129" t="inlineStr">
        <is>
          <t>Proseware payroll debit 2025-05-15</t>
        </is>
      </c>
      <c r="H129" t="inlineStr">
        <is>
          <t>-Split-</t>
        </is>
      </c>
      <c r="I129">
        <f>-22391.20</f>
        <v/>
      </c>
      <c r="J129">
        <f>254103.02</f>
        <v/>
      </c>
    </row>
    <row r="130">
      <c r="B130" t="inlineStr">
        <is>
          <t>05/15/2025</t>
        </is>
      </c>
      <c r="C130" t="inlineStr">
        <is>
          <t>Deposit</t>
        </is>
      </c>
      <c r="D130" t="inlineStr"/>
      <c r="E130" t="inlineStr">
        <is>
          <t>Paylane</t>
        </is>
      </c>
      <c r="F130" t="inlineStr">
        <is>
          <t>Paylane payout 2025-05 #1</t>
        </is>
      </c>
      <c r="H130" t="inlineStr">
        <is>
          <t>1200 Paylane Clearing</t>
        </is>
      </c>
      <c r="I130">
        <f>15626.32</f>
        <v/>
      </c>
      <c r="J130">
        <f>269729.34</f>
        <v/>
      </c>
    </row>
    <row r="131">
      <c r="B131" t="inlineStr">
        <is>
          <t>05/15/2025</t>
        </is>
      </c>
      <c r="C131" t="inlineStr">
        <is>
          <t>Expense</t>
        </is>
      </c>
      <c r="D131" t="inlineStr"/>
      <c r="E131" t="inlineStr">
        <is>
          <t>Bluepeak Engineering</t>
        </is>
      </c>
      <c r="F131" t="inlineStr">
        <is>
          <t>Bluepeak Engineering invoice 84438</t>
        </is>
      </c>
      <c r="H131" t="inlineStr">
        <is>
          <t>6100 Contract Engineering</t>
        </is>
      </c>
      <c r="I131">
        <f>-1114.06</f>
        <v/>
      </c>
      <c r="J131">
        <f>268615.28</f>
        <v/>
      </c>
    </row>
    <row r="132">
      <c r="B132" t="inlineStr">
        <is>
          <t>05/15/2025</t>
        </is>
      </c>
      <c r="C132" t="inlineStr">
        <is>
          <t>Expense</t>
        </is>
      </c>
      <c r="D132" t="inlineStr"/>
      <c r="E132" t="inlineStr">
        <is>
          <t>Quartz CAD Services</t>
        </is>
      </c>
      <c r="F132" t="inlineStr">
        <is>
          <t>Quartz CAD Services invoice 83316</t>
        </is>
      </c>
      <c r="H132" t="inlineStr">
        <is>
          <t>6100 Contract Engineering</t>
        </is>
      </c>
      <c r="I132">
        <f>-410.85</f>
        <v/>
      </c>
      <c r="J132">
        <f>268204.43</f>
        <v/>
      </c>
    </row>
    <row r="133">
      <c r="B133" t="inlineStr">
        <is>
          <t>05/18/2025</t>
        </is>
      </c>
      <c r="C133" t="inlineStr">
        <is>
          <t>Expense</t>
        </is>
      </c>
      <c r="D133" t="inlineStr"/>
      <c r="E133" t="inlineStr">
        <is>
          <t>Trey Research</t>
        </is>
      </c>
      <c r="F133" t="inlineStr">
        <is>
          <t>Trey Research monthly engagement</t>
        </is>
      </c>
      <c r="H133" t="inlineStr">
        <is>
          <t>6600 Marketing and Advertising</t>
        </is>
      </c>
      <c r="I133">
        <f>-3886.86</f>
        <v/>
      </c>
      <c r="J133">
        <f>264317.57</f>
        <v/>
      </c>
    </row>
    <row r="134">
      <c r="B134" t="inlineStr">
        <is>
          <t>05/20/2025</t>
        </is>
      </c>
      <c r="C134" t="inlineStr">
        <is>
          <t>Deposit</t>
        </is>
      </c>
      <c r="D134" t="inlineStr"/>
      <c r="E134" t="inlineStr">
        <is>
          <t>Cedarline Partners</t>
        </is>
      </c>
      <c r="F134" t="inlineStr">
        <is>
          <t>SAFE, 12,000,000 post-money cap</t>
        </is>
      </c>
      <c r="H134" t="inlineStr">
        <is>
          <t>3300 SAFE - Simple Agreement for Future Equity</t>
        </is>
      </c>
      <c r="I134">
        <f>250000.00</f>
        <v/>
      </c>
      <c r="J134">
        <f>514317.57</f>
        <v/>
      </c>
    </row>
    <row r="135">
      <c r="B135" t="inlineStr">
        <is>
          <t>05/20/2025</t>
        </is>
      </c>
      <c r="C135" t="inlineStr">
        <is>
          <t>Expense</t>
        </is>
      </c>
      <c r="D135" t="inlineStr"/>
      <c r="E135" t="inlineStr">
        <is>
          <t>Bluepeak Engineering</t>
        </is>
      </c>
      <c r="F135" t="inlineStr">
        <is>
          <t>Bluepeak Engineering invoice 70786</t>
        </is>
      </c>
      <c r="H135" t="inlineStr">
        <is>
          <t>6100 Contract Engineering</t>
        </is>
      </c>
      <c r="I135">
        <f>-1652.93</f>
        <v/>
      </c>
      <c r="J135">
        <f>512664.64</f>
        <v/>
      </c>
    </row>
    <row r="136">
      <c r="B136" t="inlineStr">
        <is>
          <t>05/21/2025</t>
        </is>
      </c>
      <c r="C136" t="inlineStr">
        <is>
          <t>Expense</t>
        </is>
      </c>
      <c r="D136" t="inlineStr"/>
      <c r="E136" t="inlineStr">
        <is>
          <t>Fabrikam Freight</t>
        </is>
      </c>
      <c r="F136" t="inlineStr">
        <is>
          <t>Fabrikam Freight invoice 58691</t>
        </is>
      </c>
      <c r="H136" t="inlineStr">
        <is>
          <t>5100 Shipping and Freight</t>
        </is>
      </c>
      <c r="I136">
        <f>-524.83</f>
        <v/>
      </c>
      <c r="J136">
        <f>512139.81</f>
        <v/>
      </c>
    </row>
    <row r="137">
      <c r="B137" t="inlineStr">
        <is>
          <t>05/22/2025</t>
        </is>
      </c>
      <c r="C137" t="inlineStr">
        <is>
          <t>Expense</t>
        </is>
      </c>
      <c r="D137" t="inlineStr"/>
      <c r="E137" t="inlineStr">
        <is>
          <t>Quartz CAD Services</t>
        </is>
      </c>
      <c r="F137" t="inlineStr">
        <is>
          <t>Quartz CAD Services invoice 22319</t>
        </is>
      </c>
      <c r="H137" t="inlineStr">
        <is>
          <t>6100 Contract Engineering</t>
        </is>
      </c>
      <c r="I137">
        <f>-667.16</f>
        <v/>
      </c>
      <c r="J137">
        <f>511472.65</f>
        <v/>
      </c>
    </row>
    <row r="138">
      <c r="B138" t="inlineStr">
        <is>
          <t>05/22/2025</t>
        </is>
      </c>
      <c r="C138" t="inlineStr">
        <is>
          <t>Expense</t>
        </is>
      </c>
      <c r="D138" t="inlineStr"/>
      <c r="E138" t="inlineStr">
        <is>
          <t>Litware Legal</t>
        </is>
      </c>
      <c r="F138" t="inlineStr">
        <is>
          <t>Litware Legal invoice 14994</t>
        </is>
      </c>
      <c r="H138" t="inlineStr">
        <is>
          <t>6800 Professional Fees</t>
        </is>
      </c>
      <c r="I138">
        <f>-2579.80</f>
        <v/>
      </c>
      <c r="J138">
        <f>508892.85</f>
        <v/>
      </c>
    </row>
    <row r="139">
      <c r="B139" t="inlineStr">
        <is>
          <t>05/22/2025</t>
        </is>
      </c>
      <c r="C139" t="inlineStr">
        <is>
          <t>Expense</t>
        </is>
      </c>
      <c r="D139" t="inlineStr"/>
      <c r="E139" t="inlineStr">
        <is>
          <t>Quartz CAD Services</t>
        </is>
      </c>
      <c r="F139" t="inlineStr">
        <is>
          <t>Quartz CAD Services invoice 78035</t>
        </is>
      </c>
      <c r="H139" t="inlineStr">
        <is>
          <t>6100 Contract Engineering</t>
        </is>
      </c>
      <c r="I139">
        <f>-481.41</f>
        <v/>
      </c>
      <c r="J139">
        <f>508411.44</f>
        <v/>
      </c>
    </row>
    <row r="140">
      <c r="B140" t="inlineStr">
        <is>
          <t>05/24/2025</t>
        </is>
      </c>
      <c r="C140" t="inlineStr">
        <is>
          <t>Expense</t>
        </is>
      </c>
      <c r="D140" t="inlineStr"/>
      <c r="E140" t="inlineStr">
        <is>
          <t>Fabrikam Freight</t>
        </is>
      </c>
      <c r="F140" t="inlineStr">
        <is>
          <t>Fabrikam Freight invoice 88053</t>
        </is>
      </c>
      <c r="H140" t="inlineStr">
        <is>
          <t>5100 Shipping and Freight</t>
        </is>
      </c>
      <c r="I140">
        <f>-629.92</f>
        <v/>
      </c>
      <c r="J140">
        <f>507781.52</f>
        <v/>
      </c>
    </row>
    <row r="141">
      <c r="B141" t="inlineStr">
        <is>
          <t>05/26/2025</t>
        </is>
      </c>
      <c r="C141" t="inlineStr">
        <is>
          <t>Expense</t>
        </is>
      </c>
      <c r="D141" t="inlineStr"/>
      <c r="E141" t="inlineStr">
        <is>
          <t>Trey Research</t>
        </is>
      </c>
      <c r="F141" t="inlineStr">
        <is>
          <t>Trey Research monthly engagement</t>
        </is>
      </c>
      <c r="H141" t="inlineStr">
        <is>
          <t>6100 Contract Engineering</t>
        </is>
      </c>
      <c r="I141">
        <f>-5601.22</f>
        <v/>
      </c>
      <c r="J141">
        <f>502180.30</f>
        <v/>
      </c>
    </row>
    <row r="142">
      <c r="B142" t="inlineStr">
        <is>
          <t>05/27/2025</t>
        </is>
      </c>
      <c r="C142" t="inlineStr">
        <is>
          <t>Expense</t>
        </is>
      </c>
      <c r="D142" t="inlineStr"/>
      <c r="E142" t="inlineStr">
        <is>
          <t>Bluepeak Engineering</t>
        </is>
      </c>
      <c r="F142" t="inlineStr">
        <is>
          <t>Bluepeak Engineering invoice 32903</t>
        </is>
      </c>
      <c r="H142" t="inlineStr">
        <is>
          <t>6100 Contract Engineering</t>
        </is>
      </c>
      <c r="I142">
        <f>-772.18</f>
        <v/>
      </c>
      <c r="J142">
        <f>501408.12</f>
        <v/>
      </c>
    </row>
    <row r="143">
      <c r="B143" t="inlineStr">
        <is>
          <t>05/31/2025</t>
        </is>
      </c>
      <c r="C143" t="inlineStr">
        <is>
          <t>Expense</t>
        </is>
      </c>
      <c r="D143" t="inlineStr"/>
      <c r="E143" t="inlineStr">
        <is>
          <t>Proseware Payroll</t>
        </is>
      </c>
      <c r="F143" t="inlineStr">
        <is>
          <t>Proseware payroll debit 2025-05-31</t>
        </is>
      </c>
      <c r="H143" t="inlineStr">
        <is>
          <t>-Split-</t>
        </is>
      </c>
      <c r="I143">
        <f>-22391.20</f>
        <v/>
      </c>
      <c r="J143">
        <f>479016.92</f>
        <v/>
      </c>
    </row>
    <row r="144">
      <c r="B144" t="inlineStr">
        <is>
          <t>05/31/2025</t>
        </is>
      </c>
      <c r="C144" t="inlineStr">
        <is>
          <t>Deposit</t>
        </is>
      </c>
      <c r="D144" t="inlineStr"/>
      <c r="E144" t="inlineStr">
        <is>
          <t>Paylane</t>
        </is>
      </c>
      <c r="F144" t="inlineStr">
        <is>
          <t>Paylane payout 2025-05 #2</t>
        </is>
      </c>
      <c r="H144" t="inlineStr">
        <is>
          <t>1200 Paylane Clearing</t>
        </is>
      </c>
      <c r="I144">
        <f>12785.18</f>
        <v/>
      </c>
      <c r="J144">
        <f>491802.10</f>
        <v/>
      </c>
    </row>
    <row r="145">
      <c r="B145" t="inlineStr">
        <is>
          <t>05/31/2025</t>
        </is>
      </c>
      <c r="C145" t="inlineStr">
        <is>
          <t>Expense</t>
        </is>
      </c>
      <c r="D145" t="inlineStr"/>
      <c r="E145" t="inlineStr">
        <is>
          <t>Northgate Bank</t>
        </is>
      </c>
      <c r="F145" t="inlineStr">
        <is>
          <t>Account analysis fee 2025-05</t>
        </is>
      </c>
      <c r="H145" t="inlineStr">
        <is>
          <t>6950 Bank and Processor Fees</t>
        </is>
      </c>
      <c r="I145">
        <f>-45.00</f>
        <v/>
      </c>
      <c r="J145">
        <f>491757.10</f>
        <v/>
      </c>
    </row>
    <row r="146">
      <c r="B146" t="inlineStr">
        <is>
          <t>06/01/2025</t>
        </is>
      </c>
      <c r="C146" t="inlineStr">
        <is>
          <t>Expense</t>
        </is>
      </c>
      <c r="D146" t="inlineStr"/>
      <c r="E146" t="inlineStr">
        <is>
          <t>Wingtip Workspace</t>
        </is>
      </c>
      <c r="F146" t="inlineStr">
        <is>
          <t>Office rent 2025-06</t>
        </is>
      </c>
      <c r="H146" t="inlineStr">
        <is>
          <t>6400 Rent</t>
        </is>
      </c>
      <c r="I146">
        <f>-6500.00</f>
        <v/>
      </c>
      <c r="J146">
        <f>485257.10</f>
        <v/>
      </c>
    </row>
    <row r="147">
      <c r="B147" t="inlineStr">
        <is>
          <t>06/02/2025</t>
        </is>
      </c>
      <c r="C147" t="inlineStr">
        <is>
          <t>Expense</t>
        </is>
      </c>
      <c r="D147" t="inlineStr"/>
      <c r="E147" t="inlineStr">
        <is>
          <t>Redwood Prototyping</t>
        </is>
      </c>
      <c r="F147" t="inlineStr">
        <is>
          <t>Redwood Prototyping invoice 46757</t>
        </is>
      </c>
      <c r="H147" t="inlineStr">
        <is>
          <t>6100 Contract Engineering</t>
        </is>
      </c>
      <c r="I147">
        <f>-784.94</f>
        <v/>
      </c>
      <c r="J147">
        <f>484472.16</f>
        <v/>
      </c>
    </row>
    <row r="148">
      <c r="B148" t="inlineStr">
        <is>
          <t>06/03/2025</t>
        </is>
      </c>
      <c r="C148" t="inlineStr">
        <is>
          <t>Expense</t>
        </is>
      </c>
      <c r="D148" t="inlineStr"/>
      <c r="E148" t="inlineStr">
        <is>
          <t>Redwood Prototyping</t>
        </is>
      </c>
      <c r="F148" t="inlineStr">
        <is>
          <t>Redwood Prototyping invoice 95228</t>
        </is>
      </c>
      <c r="H148" t="inlineStr">
        <is>
          <t>6100 Contract Engineering</t>
        </is>
      </c>
      <c r="I148">
        <f>-997.43</f>
        <v/>
      </c>
      <c r="J148">
        <f>483474.73</f>
        <v/>
      </c>
    </row>
    <row r="149">
      <c r="B149" t="inlineStr">
        <is>
          <t>06/04/2025</t>
        </is>
      </c>
      <c r="C149" t="inlineStr">
        <is>
          <t>Expense</t>
        </is>
      </c>
      <c r="D149" t="inlineStr"/>
      <c r="E149" t="inlineStr">
        <is>
          <t>Fabrikam Freight</t>
        </is>
      </c>
      <c r="F149" t="inlineStr">
        <is>
          <t>Fabrikam Freight invoice 92669</t>
        </is>
      </c>
      <c r="H149" t="inlineStr">
        <is>
          <t>5100 Shipping and Freight</t>
        </is>
      </c>
      <c r="I149">
        <f>-543.16</f>
        <v/>
      </c>
      <c r="J149">
        <f>482931.57</f>
        <v/>
      </c>
    </row>
    <row r="150">
      <c r="B150" t="inlineStr">
        <is>
          <t>06/05/2025</t>
        </is>
      </c>
      <c r="C150" t="inlineStr">
        <is>
          <t>Expense</t>
        </is>
      </c>
      <c r="D150" t="inlineStr"/>
      <c r="E150" t="inlineStr">
        <is>
          <t>Vantage Card</t>
        </is>
      </c>
      <c r="F150" t="inlineStr">
        <is>
          <t>Vantage card payment</t>
        </is>
      </c>
      <c r="H150" t="inlineStr">
        <is>
          <t>2100 Vantage Card 3391</t>
        </is>
      </c>
      <c r="I150">
        <f>-10743.03</f>
        <v/>
      </c>
      <c r="J150">
        <f>472188.54</f>
        <v/>
      </c>
    </row>
    <row r="151">
      <c r="B151" t="inlineStr">
        <is>
          <t>06/05/2025</t>
        </is>
      </c>
      <c r="C151" t="inlineStr">
        <is>
          <t>Transfer</t>
        </is>
      </c>
      <c r="D151" t="inlineStr"/>
      <c r="E151" t="inlineStr"/>
      <c r="F151" t="inlineStr">
        <is>
          <t>Transfer to savings</t>
        </is>
      </c>
      <c r="H151" t="inlineStr">
        <is>
          <t>1020 Northgate Savings 7809</t>
        </is>
      </c>
      <c r="I151">
        <f>-5000.00</f>
        <v/>
      </c>
      <c r="J151">
        <f>467188.54</f>
        <v/>
      </c>
    </row>
    <row r="152">
      <c r="B152" t="inlineStr">
        <is>
          <t>06/05/2025</t>
        </is>
      </c>
      <c r="C152" t="inlineStr">
        <is>
          <t>Expense</t>
        </is>
      </c>
      <c r="D152" t="inlineStr"/>
      <c r="E152" t="inlineStr">
        <is>
          <t>Bluepeak Engineering</t>
        </is>
      </c>
      <c r="F152" t="inlineStr">
        <is>
          <t>Bluepeak Engineering invoice 96678</t>
        </is>
      </c>
      <c r="H152" t="inlineStr">
        <is>
          <t>6100 Contract Engineering</t>
        </is>
      </c>
      <c r="I152">
        <f>-724.91</f>
        <v/>
      </c>
      <c r="J152">
        <f>466463.63</f>
        <v/>
      </c>
    </row>
    <row r="153">
      <c r="B153" t="inlineStr">
        <is>
          <t>06/05/2025</t>
        </is>
      </c>
      <c r="C153" t="inlineStr">
        <is>
          <t>Expense</t>
        </is>
      </c>
      <c r="D153" t="inlineStr"/>
      <c r="E153" t="inlineStr">
        <is>
          <t>Quartz CAD Services</t>
        </is>
      </c>
      <c r="F153" t="inlineStr">
        <is>
          <t>Quartz CAD Services invoice 18855</t>
        </is>
      </c>
      <c r="H153" t="inlineStr">
        <is>
          <t>6100 Contract Engineering</t>
        </is>
      </c>
      <c r="I153">
        <f>-506.56</f>
        <v/>
      </c>
      <c r="J153">
        <f>465957.07</f>
        <v/>
      </c>
    </row>
    <row r="154">
      <c r="B154" t="inlineStr">
        <is>
          <t>06/07/2025</t>
        </is>
      </c>
      <c r="C154" t="inlineStr">
        <is>
          <t>Expense</t>
        </is>
      </c>
      <c r="D154" t="inlineStr"/>
      <c r="E154" t="inlineStr">
        <is>
          <t>Quartz CAD Services</t>
        </is>
      </c>
      <c r="F154" t="inlineStr">
        <is>
          <t>Quartz CAD Services invoice 20889</t>
        </is>
      </c>
      <c r="H154" t="inlineStr">
        <is>
          <t>6100 Contract Engineering</t>
        </is>
      </c>
      <c r="I154">
        <f>-238.53</f>
        <v/>
      </c>
      <c r="J154">
        <f>465718.54</f>
        <v/>
      </c>
    </row>
    <row r="155">
      <c r="B155" t="inlineStr">
        <is>
          <t>06/08/2025</t>
        </is>
      </c>
      <c r="C155" t="inlineStr">
        <is>
          <t>Expense</t>
        </is>
      </c>
      <c r="D155" t="inlineStr"/>
      <c r="E155" t="inlineStr">
        <is>
          <t>Quartz CAD Services</t>
        </is>
      </c>
      <c r="F155" t="inlineStr">
        <is>
          <t>Quartz CAD Services invoice 17452</t>
        </is>
      </c>
      <c r="H155" t="inlineStr">
        <is>
          <t>6100 Contract Engineering</t>
        </is>
      </c>
      <c r="I155">
        <f>-205.00</f>
        <v/>
      </c>
      <c r="J155">
        <f>465513.54</f>
        <v/>
      </c>
    </row>
    <row r="156">
      <c r="B156" t="inlineStr">
        <is>
          <t>06/09/2025</t>
        </is>
      </c>
      <c r="C156" t="inlineStr">
        <is>
          <t>Expense</t>
        </is>
      </c>
      <c r="D156" t="inlineStr"/>
      <c r="E156" t="inlineStr">
        <is>
          <t>Redwood Prototyping</t>
        </is>
      </c>
      <c r="F156" t="inlineStr">
        <is>
          <t>Redwood Prototyping invoice 76827</t>
        </is>
      </c>
      <c r="H156" t="inlineStr">
        <is>
          <t>6100 Contract Engineering</t>
        </is>
      </c>
      <c r="I156">
        <f>-388.17</f>
        <v/>
      </c>
      <c r="J156">
        <f>465125.37</f>
        <v/>
      </c>
    </row>
    <row r="157">
      <c r="B157" t="inlineStr">
        <is>
          <t>06/09/2025</t>
        </is>
      </c>
      <c r="C157" t="inlineStr">
        <is>
          <t>Expense</t>
        </is>
      </c>
      <c r="D157" t="inlineStr"/>
      <c r="E157" t="inlineStr">
        <is>
          <t>Bluepeak Engineering</t>
        </is>
      </c>
      <c r="F157" t="inlineStr">
        <is>
          <t>Bluepeak Engineering invoice 70157</t>
        </is>
      </c>
      <c r="H157" t="inlineStr">
        <is>
          <t>6100 Contract Engineering</t>
        </is>
      </c>
      <c r="I157">
        <f>-1844.24</f>
        <v/>
      </c>
      <c r="J157">
        <f>463281.13</f>
        <v/>
      </c>
    </row>
    <row r="158">
      <c r="B158" t="inlineStr">
        <is>
          <t>06/10/2025</t>
        </is>
      </c>
      <c r="C158" t="inlineStr">
        <is>
          <t>Payment</t>
        </is>
      </c>
      <c r="D158" t="inlineStr"/>
      <c r="E158" t="inlineStr">
        <is>
          <t>Volt Dynamics Inc</t>
        </is>
      </c>
      <c r="F158" t="inlineStr">
        <is>
          <t>Payment on INV-1008</t>
        </is>
      </c>
      <c r="H158" t="inlineStr">
        <is>
          <t>1100 Accounts Receivable</t>
        </is>
      </c>
      <c r="I158">
        <f>37846.45</f>
        <v/>
      </c>
      <c r="J158">
        <f>501127.58</f>
        <v/>
      </c>
    </row>
    <row r="159">
      <c r="B159" t="inlineStr">
        <is>
          <t>06/10/2025</t>
        </is>
      </c>
      <c r="C159" t="inlineStr">
        <is>
          <t>Payment</t>
        </is>
      </c>
      <c r="D159" t="inlineStr"/>
      <c r="E159" t="inlineStr">
        <is>
          <t>Volt Dynamics Inc</t>
        </is>
      </c>
      <c r="F159" t="inlineStr">
        <is>
          <t>Payment on INV-1009</t>
        </is>
      </c>
      <c r="H159" t="inlineStr">
        <is>
          <t>1100 Accounts Receivable</t>
        </is>
      </c>
      <c r="I159">
        <f>7500.00</f>
        <v/>
      </c>
      <c r="J159">
        <f>508627.58</f>
        <v/>
      </c>
    </row>
    <row r="160">
      <c r="B160" t="inlineStr">
        <is>
          <t>06/10/2025</t>
        </is>
      </c>
      <c r="C160" t="inlineStr">
        <is>
          <t>Expense</t>
        </is>
      </c>
      <c r="D160" t="inlineStr"/>
      <c r="E160" t="inlineStr">
        <is>
          <t>Northwind Supply</t>
        </is>
      </c>
      <c r="F160" t="inlineStr">
        <is>
          <t>Northwind Supply invoice 53913</t>
        </is>
      </c>
      <c r="H160" t="inlineStr">
        <is>
          <t>5000 Cost of Goods Sold - Components</t>
        </is>
      </c>
      <c r="I160">
        <f>-350.46</f>
        <v/>
      </c>
      <c r="J160">
        <f>508277.12</f>
        <v/>
      </c>
    </row>
    <row r="161">
      <c r="B161" t="inlineStr">
        <is>
          <t>06/11/2025</t>
        </is>
      </c>
      <c r="C161" t="inlineStr">
        <is>
          <t>Expense</t>
        </is>
      </c>
      <c r="D161" t="inlineStr"/>
      <c r="E161" t="inlineStr">
        <is>
          <t>Litware Legal</t>
        </is>
      </c>
      <c r="F161" t="inlineStr">
        <is>
          <t>Litware Legal invoice 91664</t>
        </is>
      </c>
      <c r="H161" t="inlineStr">
        <is>
          <t>6800 Professional Fees</t>
        </is>
      </c>
      <c r="I161">
        <f>-2282.01</f>
        <v/>
      </c>
      <c r="J161">
        <f>505995.11</f>
        <v/>
      </c>
    </row>
    <row r="162">
      <c r="B162" t="inlineStr">
        <is>
          <t>06/12/2025</t>
        </is>
      </c>
      <c r="C162" t="inlineStr">
        <is>
          <t>Bill Payment</t>
        </is>
      </c>
      <c r="D162" t="inlineStr"/>
      <c r="E162" t="inlineStr">
        <is>
          <t>Northwind Supply</t>
        </is>
      </c>
      <c r="F162" t="inlineStr">
        <is>
          <t>Payment on NWS-4404</t>
        </is>
      </c>
      <c r="H162" t="inlineStr">
        <is>
          <t>2010 Accounts Payable</t>
        </is>
      </c>
      <c r="I162">
        <f>-11122.53</f>
        <v/>
      </c>
      <c r="J162">
        <f>494872.58</f>
        <v/>
      </c>
    </row>
    <row r="163">
      <c r="B163" t="inlineStr">
        <is>
          <t>06/12/2025</t>
        </is>
      </c>
      <c r="C163" t="inlineStr">
        <is>
          <t>Expense</t>
        </is>
      </c>
      <c r="D163" t="inlineStr"/>
      <c r="E163" t="inlineStr">
        <is>
          <t>Litware Legal</t>
        </is>
      </c>
      <c r="F163" t="inlineStr">
        <is>
          <t>Litware Legal invoice 15758</t>
        </is>
      </c>
      <c r="H163" t="inlineStr">
        <is>
          <t>6800 Professional Fees</t>
        </is>
      </c>
      <c r="I163">
        <f>-2165.80</f>
        <v/>
      </c>
      <c r="J163">
        <f>492706.78</f>
        <v/>
      </c>
    </row>
    <row r="164">
      <c r="B164" t="inlineStr">
        <is>
          <t>06/13/2025</t>
        </is>
      </c>
      <c r="C164" t="inlineStr">
        <is>
          <t>Expense</t>
        </is>
      </c>
      <c r="D164" t="inlineStr"/>
      <c r="E164" t="inlineStr">
        <is>
          <t>Litware Legal</t>
        </is>
      </c>
      <c r="F164" t="inlineStr">
        <is>
          <t>Litware Legal invoice 91439</t>
        </is>
      </c>
      <c r="H164" t="inlineStr">
        <is>
          <t>6800 Professional Fees</t>
        </is>
      </c>
      <c r="I164">
        <f>-2298.77</f>
        <v/>
      </c>
      <c r="J164">
        <f>490408.01</f>
        <v/>
      </c>
    </row>
    <row r="165">
      <c r="B165" t="inlineStr">
        <is>
          <t>06/15/2025</t>
        </is>
      </c>
      <c r="C165" t="inlineStr">
        <is>
          <t>Expense</t>
        </is>
      </c>
      <c r="D165" t="inlineStr"/>
      <c r="E165" t="inlineStr">
        <is>
          <t>Proseware Payroll</t>
        </is>
      </c>
      <c r="F165" t="inlineStr">
        <is>
          <t>Proseware payroll debit 2025-06-15</t>
        </is>
      </c>
      <c r="H165" t="inlineStr">
        <is>
          <t>-Split-</t>
        </is>
      </c>
      <c r="I165">
        <f>-22875.62</f>
        <v/>
      </c>
      <c r="J165">
        <f>467532.39</f>
        <v/>
      </c>
    </row>
    <row r="166">
      <c r="B166" t="inlineStr">
        <is>
          <t>06/15/2025</t>
        </is>
      </c>
      <c r="C166" t="inlineStr">
        <is>
          <t>Deposit</t>
        </is>
      </c>
      <c r="D166" t="inlineStr"/>
      <c r="E166" t="inlineStr">
        <is>
          <t>Paylane</t>
        </is>
      </c>
      <c r="F166" t="inlineStr">
        <is>
          <t>Paylane payout 2025-06 #1</t>
        </is>
      </c>
      <c r="H166" t="inlineStr">
        <is>
          <t>1200 Paylane Clearing</t>
        </is>
      </c>
      <c r="I166">
        <f>16886.52</f>
        <v/>
      </c>
      <c r="J166">
        <f>484418.91</f>
        <v/>
      </c>
    </row>
    <row r="167">
      <c r="B167" t="inlineStr">
        <is>
          <t>06/15/2025</t>
        </is>
      </c>
      <c r="C167" t="inlineStr">
        <is>
          <t>Expense</t>
        </is>
      </c>
      <c r="D167" t="inlineStr"/>
      <c r="E167" t="inlineStr">
        <is>
          <t>Redwood Prototyping</t>
        </is>
      </c>
      <c r="F167" t="inlineStr">
        <is>
          <t>Redwood Prototyping invoice 17810</t>
        </is>
      </c>
      <c r="H167" t="inlineStr">
        <is>
          <t>6100 Contract Engineering</t>
        </is>
      </c>
      <c r="I167">
        <f>-1141.88</f>
        <v/>
      </c>
      <c r="J167">
        <f>483277.03</f>
        <v/>
      </c>
    </row>
    <row r="168">
      <c r="B168" t="inlineStr">
        <is>
          <t>06/15/2025</t>
        </is>
      </c>
      <c r="C168" t="inlineStr">
        <is>
          <t>Expense</t>
        </is>
      </c>
      <c r="D168" t="inlineStr"/>
      <c r="E168" t="inlineStr">
        <is>
          <t>Litware Legal</t>
        </is>
      </c>
      <c r="F168" t="inlineStr">
        <is>
          <t>Litware Legal invoice 27303</t>
        </is>
      </c>
      <c r="H168" t="inlineStr">
        <is>
          <t>6800 Professional Fees</t>
        </is>
      </c>
      <c r="I168">
        <f>-2202.73</f>
        <v/>
      </c>
      <c r="J168">
        <f>481074.30</f>
        <v/>
      </c>
    </row>
    <row r="169">
      <c r="B169" t="inlineStr">
        <is>
          <t>06/16/2025</t>
        </is>
      </c>
      <c r="C169" t="inlineStr">
        <is>
          <t>Expense</t>
        </is>
      </c>
      <c r="D169" t="inlineStr"/>
      <c r="E169" t="inlineStr">
        <is>
          <t>Bluepeak Engineering</t>
        </is>
      </c>
      <c r="F169" t="inlineStr">
        <is>
          <t>Bluepeak Engineering invoice 20213</t>
        </is>
      </c>
      <c r="H169" t="inlineStr">
        <is>
          <t>6100 Contract Engineering</t>
        </is>
      </c>
      <c r="I169">
        <f>-1680.32</f>
        <v/>
      </c>
      <c r="J169">
        <f>479393.98</f>
        <v/>
      </c>
    </row>
    <row r="170">
      <c r="B170" t="inlineStr">
        <is>
          <t>06/18/2025</t>
        </is>
      </c>
      <c r="C170" t="inlineStr">
        <is>
          <t>Expense</t>
        </is>
      </c>
      <c r="D170" t="inlineStr"/>
      <c r="E170" t="inlineStr">
        <is>
          <t>Trey Research</t>
        </is>
      </c>
      <c r="F170" t="inlineStr">
        <is>
          <t>Trey Research monthly engagement</t>
        </is>
      </c>
      <c r="H170" t="inlineStr">
        <is>
          <t>6800 Professional Fees</t>
        </is>
      </c>
      <c r="I170">
        <f>-5969.02</f>
        <v/>
      </c>
      <c r="J170">
        <f>473424.96</f>
        <v/>
      </c>
    </row>
    <row r="171">
      <c r="B171" t="inlineStr">
        <is>
          <t>06/19/2025</t>
        </is>
      </c>
      <c r="C171" t="inlineStr">
        <is>
          <t>Expense</t>
        </is>
      </c>
      <c r="D171" t="inlineStr"/>
      <c r="E171" t="inlineStr">
        <is>
          <t>Bluepeak Engineering</t>
        </is>
      </c>
      <c r="F171" t="inlineStr">
        <is>
          <t>Bluepeak Engineering invoice 79608</t>
        </is>
      </c>
      <c r="H171" t="inlineStr">
        <is>
          <t>6100 Contract Engineering</t>
        </is>
      </c>
      <c r="I171">
        <f>-1167.96</f>
        <v/>
      </c>
      <c r="J171">
        <f>472257.00</f>
        <v/>
      </c>
    </row>
    <row r="172">
      <c r="B172" t="inlineStr">
        <is>
          <t>06/19/2025</t>
        </is>
      </c>
      <c r="C172" t="inlineStr">
        <is>
          <t>Expense</t>
        </is>
      </c>
      <c r="D172" t="inlineStr"/>
      <c r="E172" t="inlineStr">
        <is>
          <t>Redwood Prototyping</t>
        </is>
      </c>
      <c r="F172" t="inlineStr">
        <is>
          <t>Redwood Prototyping invoice 54020</t>
        </is>
      </c>
      <c r="H172" t="inlineStr">
        <is>
          <t>6100 Contract Engineering</t>
        </is>
      </c>
      <c r="I172">
        <f>-1259.01</f>
        <v/>
      </c>
      <c r="J172">
        <f>470997.99</f>
        <v/>
      </c>
    </row>
    <row r="173">
      <c r="B173" t="inlineStr">
        <is>
          <t>06/20/2025</t>
        </is>
      </c>
      <c r="C173" t="inlineStr">
        <is>
          <t>Expense</t>
        </is>
      </c>
      <c r="D173" t="inlineStr"/>
      <c r="E173" t="inlineStr">
        <is>
          <t>Quartz CAD Services</t>
        </is>
      </c>
      <c r="F173" t="inlineStr">
        <is>
          <t>Quartz CAD Services invoice 19399</t>
        </is>
      </c>
      <c r="H173" t="inlineStr">
        <is>
          <t>6100 Contract Engineering</t>
        </is>
      </c>
      <c r="I173">
        <f>-413.03</f>
        <v/>
      </c>
      <c r="J173">
        <f>470584.96</f>
        <v/>
      </c>
    </row>
    <row r="174">
      <c r="B174" t="inlineStr">
        <is>
          <t>06/22/2025</t>
        </is>
      </c>
      <c r="C174" t="inlineStr">
        <is>
          <t>Expense</t>
        </is>
      </c>
      <c r="D174" t="inlineStr"/>
      <c r="E174" t="inlineStr">
        <is>
          <t>Redwood Prototyping</t>
        </is>
      </c>
      <c r="F174" t="inlineStr">
        <is>
          <t>Redwood Prototyping invoice 49493</t>
        </is>
      </c>
      <c r="H174" t="inlineStr">
        <is>
          <t>6100 Contract Engineering</t>
        </is>
      </c>
      <c r="I174">
        <f>-681.45</f>
        <v/>
      </c>
      <c r="J174">
        <f>469903.51</f>
        <v/>
      </c>
    </row>
    <row r="175">
      <c r="B175" t="inlineStr">
        <is>
          <t>06/24/2025</t>
        </is>
      </c>
      <c r="C175" t="inlineStr">
        <is>
          <t>Expense</t>
        </is>
      </c>
      <c r="D175" t="inlineStr"/>
      <c r="E175" t="inlineStr">
        <is>
          <t>Fabrikam Freight</t>
        </is>
      </c>
      <c r="F175" t="inlineStr">
        <is>
          <t>Fabrikam Freight invoice 80293</t>
        </is>
      </c>
      <c r="H175" t="inlineStr">
        <is>
          <t>5100 Shipping and Freight</t>
        </is>
      </c>
      <c r="I175">
        <f>-458.77</f>
        <v/>
      </c>
      <c r="J175">
        <f>469444.74</f>
        <v/>
      </c>
    </row>
    <row r="176">
      <c r="B176" t="inlineStr">
        <is>
          <t>06/26/2025</t>
        </is>
      </c>
      <c r="C176" t="inlineStr">
        <is>
          <t>Expense</t>
        </is>
      </c>
      <c r="D176" t="inlineStr"/>
      <c r="E176" t="inlineStr">
        <is>
          <t>Litware Legal</t>
        </is>
      </c>
      <c r="F176" t="inlineStr">
        <is>
          <t>Litware Legal invoice 81516</t>
        </is>
      </c>
      <c r="H176" t="inlineStr">
        <is>
          <t>6800 Professional Fees</t>
        </is>
      </c>
      <c r="I176">
        <f>-577.43</f>
        <v/>
      </c>
      <c r="J176">
        <f>468867.31</f>
        <v/>
      </c>
    </row>
    <row r="177">
      <c r="B177" t="inlineStr">
        <is>
          <t>06/30/2025</t>
        </is>
      </c>
      <c r="C177" t="inlineStr">
        <is>
          <t>Expense</t>
        </is>
      </c>
      <c r="D177" t="inlineStr"/>
      <c r="E177" t="inlineStr">
        <is>
          <t>Proseware Payroll</t>
        </is>
      </c>
      <c r="F177" t="inlineStr">
        <is>
          <t>Proseware payroll debit 2025-06-30</t>
        </is>
      </c>
      <c r="H177" t="inlineStr">
        <is>
          <t>-Split-</t>
        </is>
      </c>
      <c r="I177">
        <f>-22875.62</f>
        <v/>
      </c>
      <c r="J177">
        <f>445991.69</f>
        <v/>
      </c>
    </row>
    <row r="178">
      <c r="B178" t="inlineStr">
        <is>
          <t>06/30/2025</t>
        </is>
      </c>
      <c r="C178" t="inlineStr">
        <is>
          <t>Deposit</t>
        </is>
      </c>
      <c r="D178" t="inlineStr"/>
      <c r="E178" t="inlineStr">
        <is>
          <t>Paylane</t>
        </is>
      </c>
      <c r="F178" t="inlineStr">
        <is>
          <t>Paylane payout 2025-06 #2</t>
        </is>
      </c>
      <c r="H178" t="inlineStr">
        <is>
          <t>1200 Paylane Clearing</t>
        </is>
      </c>
      <c r="I178">
        <f>13816.24</f>
        <v/>
      </c>
      <c r="J178">
        <f>459807.93</f>
        <v/>
      </c>
    </row>
    <row r="179">
      <c r="B179" t="inlineStr">
        <is>
          <t>06/30/2025</t>
        </is>
      </c>
      <c r="C179" t="inlineStr">
        <is>
          <t>Expense</t>
        </is>
      </c>
      <c r="D179" t="inlineStr"/>
      <c r="E179" t="inlineStr">
        <is>
          <t>Northgate Bank</t>
        </is>
      </c>
      <c r="F179" t="inlineStr">
        <is>
          <t>Account analysis fee 2025-06</t>
        </is>
      </c>
      <c r="H179" t="inlineStr">
        <is>
          <t>6950 Bank and Processor Fees</t>
        </is>
      </c>
      <c r="I179">
        <f>-45.00</f>
        <v/>
      </c>
      <c r="J179">
        <f>459762.93</f>
        <v/>
      </c>
    </row>
    <row r="180">
      <c r="B180" t="inlineStr">
        <is>
          <t>07/01/2025</t>
        </is>
      </c>
      <c r="C180" t="inlineStr">
        <is>
          <t>Expense</t>
        </is>
      </c>
      <c r="D180" t="inlineStr"/>
      <c r="E180" t="inlineStr">
        <is>
          <t>Wingtip Workspace</t>
        </is>
      </c>
      <c r="F180" t="inlineStr">
        <is>
          <t>Office rent 2025-07</t>
        </is>
      </c>
      <c r="H180" t="inlineStr">
        <is>
          <t>6400 Rent</t>
        </is>
      </c>
      <c r="I180">
        <f>-6500.00</f>
        <v/>
      </c>
      <c r="J180">
        <f>453262.93</f>
        <v/>
      </c>
    </row>
    <row r="181">
      <c r="B181" t="inlineStr">
        <is>
          <t>07/02/2025</t>
        </is>
      </c>
      <c r="C181" t="inlineStr">
        <is>
          <t>Expense</t>
        </is>
      </c>
      <c r="D181" t="inlineStr"/>
      <c r="E181" t="inlineStr">
        <is>
          <t>Fabrikam Freight</t>
        </is>
      </c>
      <c r="F181" t="inlineStr">
        <is>
          <t>Fabrikam Freight invoice 91111</t>
        </is>
      </c>
      <c r="H181" t="inlineStr">
        <is>
          <t>5100 Shipping and Freight</t>
        </is>
      </c>
      <c r="I181">
        <f>-754.53</f>
        <v/>
      </c>
      <c r="J181">
        <f>452508.40</f>
        <v/>
      </c>
    </row>
    <row r="182">
      <c r="B182" t="inlineStr">
        <is>
          <t>07/02/2025</t>
        </is>
      </c>
      <c r="C182" t="inlineStr">
        <is>
          <t>Expense</t>
        </is>
      </c>
      <c r="D182" t="inlineStr"/>
      <c r="E182" t="inlineStr">
        <is>
          <t>Litware Legal</t>
        </is>
      </c>
      <c r="F182" t="inlineStr">
        <is>
          <t>Litware Legal invoice 33976</t>
        </is>
      </c>
      <c r="H182" t="inlineStr">
        <is>
          <t>6800 Professional Fees</t>
        </is>
      </c>
      <c r="I182">
        <f>-2318.42</f>
        <v/>
      </c>
      <c r="J182">
        <f>450189.98</f>
        <v/>
      </c>
    </row>
    <row r="183">
      <c r="B183" t="inlineStr">
        <is>
          <t>07/03/2025</t>
        </is>
      </c>
      <c r="C183" t="inlineStr">
        <is>
          <t>Expense</t>
        </is>
      </c>
      <c r="D183" t="inlineStr"/>
      <c r="E183" t="inlineStr">
        <is>
          <t>Northwind Supply</t>
        </is>
      </c>
      <c r="F183" t="inlineStr">
        <is>
          <t>Northwind Supply invoice 97032</t>
        </is>
      </c>
      <c r="H183" t="inlineStr">
        <is>
          <t>5000 Cost of Goods Sold - Components</t>
        </is>
      </c>
      <c r="I183">
        <f>-493.35</f>
        <v/>
      </c>
      <c r="J183">
        <f>449696.63</f>
        <v/>
      </c>
    </row>
    <row r="184">
      <c r="B184" t="inlineStr">
        <is>
          <t>07/04/2025</t>
        </is>
      </c>
      <c r="C184" t="inlineStr">
        <is>
          <t>Expense</t>
        </is>
      </c>
      <c r="D184" t="inlineStr"/>
      <c r="E184" t="inlineStr">
        <is>
          <t>Fabrikam Freight</t>
        </is>
      </c>
      <c r="F184" t="inlineStr">
        <is>
          <t>Fabrikam Freight invoice 75380</t>
        </is>
      </c>
      <c r="H184" t="inlineStr">
        <is>
          <t>5100 Shipping and Freight</t>
        </is>
      </c>
      <c r="I184">
        <f>-763.03</f>
        <v/>
      </c>
      <c r="J184">
        <f>448933.60</f>
        <v/>
      </c>
    </row>
    <row r="185">
      <c r="B185" t="inlineStr">
        <is>
          <t>07/04/2025</t>
        </is>
      </c>
      <c r="C185" t="inlineStr">
        <is>
          <t>Expense</t>
        </is>
      </c>
      <c r="D185" t="inlineStr"/>
      <c r="E185" t="inlineStr">
        <is>
          <t>Redwood Prototyping</t>
        </is>
      </c>
      <c r="F185" t="inlineStr">
        <is>
          <t>Redwood Prototyping invoice 87916</t>
        </is>
      </c>
      <c r="H185" t="inlineStr">
        <is>
          <t>6100 Contract Engineering</t>
        </is>
      </c>
      <c r="I185">
        <f>-384.76</f>
        <v/>
      </c>
      <c r="J185">
        <f>448548.84</f>
        <v/>
      </c>
    </row>
    <row r="186">
      <c r="B186" t="inlineStr">
        <is>
          <t>07/05/2025</t>
        </is>
      </c>
      <c r="C186" t="inlineStr">
        <is>
          <t>Expense</t>
        </is>
      </c>
      <c r="D186" t="inlineStr"/>
      <c r="E186" t="inlineStr">
        <is>
          <t>Vantage Card</t>
        </is>
      </c>
      <c r="F186" t="inlineStr">
        <is>
          <t>Vantage card payment</t>
        </is>
      </c>
      <c r="H186" t="inlineStr">
        <is>
          <t>2100 Vantage Card 3391</t>
        </is>
      </c>
      <c r="I186">
        <f>-10282.64</f>
        <v/>
      </c>
      <c r="J186">
        <f>438266.20</f>
        <v/>
      </c>
    </row>
    <row r="187">
      <c r="B187" t="inlineStr">
        <is>
          <t>07/05/2025</t>
        </is>
      </c>
      <c r="C187" t="inlineStr">
        <is>
          <t>Transfer</t>
        </is>
      </c>
      <c r="D187" t="inlineStr"/>
      <c r="E187" t="inlineStr"/>
      <c r="F187" t="inlineStr">
        <is>
          <t>Transfer to savings</t>
        </is>
      </c>
      <c r="H187" t="inlineStr">
        <is>
          <t>1020 Northgate Savings 7809</t>
        </is>
      </c>
      <c r="I187">
        <f>-5000.00</f>
        <v/>
      </c>
      <c r="J187">
        <f>433266.20</f>
        <v/>
      </c>
    </row>
    <row r="188">
      <c r="B188" t="inlineStr">
        <is>
          <t>07/05/2025</t>
        </is>
      </c>
      <c r="C188" t="inlineStr">
        <is>
          <t>Expense</t>
        </is>
      </c>
      <c r="D188" t="inlineStr"/>
      <c r="E188" t="inlineStr">
        <is>
          <t>Fabrikam Freight</t>
        </is>
      </c>
      <c r="F188" t="inlineStr">
        <is>
          <t>Fabrikam Freight invoice 35385</t>
        </is>
      </c>
      <c r="H188" t="inlineStr">
        <is>
          <t>5100 Shipping and Freight</t>
        </is>
      </c>
      <c r="I188">
        <f>-621.04</f>
        <v/>
      </c>
      <c r="J188">
        <f>432645.16</f>
        <v/>
      </c>
    </row>
    <row r="189">
      <c r="B189" t="inlineStr">
        <is>
          <t>07/05/2025</t>
        </is>
      </c>
      <c r="C189" t="inlineStr">
        <is>
          <t>Expense</t>
        </is>
      </c>
      <c r="D189" t="inlineStr"/>
      <c r="E189" t="inlineStr">
        <is>
          <t>Bluepeak Engineering</t>
        </is>
      </c>
      <c r="F189" t="inlineStr">
        <is>
          <t>Bluepeak Engineering invoice 53296</t>
        </is>
      </c>
      <c r="H189" t="inlineStr">
        <is>
          <t>6100 Contract Engineering</t>
        </is>
      </c>
      <c r="I189">
        <f>-1627.10</f>
        <v/>
      </c>
      <c r="J189">
        <f>431018.06</f>
        <v/>
      </c>
    </row>
    <row r="190">
      <c r="B190" t="inlineStr">
        <is>
          <t>07/05/2025</t>
        </is>
      </c>
      <c r="C190" t="inlineStr">
        <is>
          <t>Expense</t>
        </is>
      </c>
      <c r="D190" t="inlineStr"/>
      <c r="E190" t="inlineStr">
        <is>
          <t>Northwind Supply</t>
        </is>
      </c>
      <c r="F190" t="inlineStr">
        <is>
          <t>Northwind Supply invoice 89376</t>
        </is>
      </c>
      <c r="H190" t="inlineStr">
        <is>
          <t>5000 Cost of Goods Sold - Components</t>
        </is>
      </c>
      <c r="I190">
        <f>-837.78</f>
        <v/>
      </c>
      <c r="J190">
        <f>430180.28</f>
        <v/>
      </c>
    </row>
    <row r="191">
      <c r="B191" t="inlineStr">
        <is>
          <t>07/05/2025</t>
        </is>
      </c>
      <c r="C191" t="inlineStr">
        <is>
          <t>Expense</t>
        </is>
      </c>
      <c r="D191" t="inlineStr"/>
      <c r="E191" t="inlineStr">
        <is>
          <t>Fabrikam Freight</t>
        </is>
      </c>
      <c r="F191" t="inlineStr">
        <is>
          <t>Fabrikam Freight invoice 77054</t>
        </is>
      </c>
      <c r="H191" t="inlineStr">
        <is>
          <t>5100 Shipping and Freight</t>
        </is>
      </c>
      <c r="I191">
        <f>-230.89</f>
        <v/>
      </c>
      <c r="J191">
        <f>429949.39</f>
        <v/>
      </c>
    </row>
    <row r="192">
      <c r="B192" t="inlineStr">
        <is>
          <t>07/06/2025</t>
        </is>
      </c>
      <c r="C192" t="inlineStr">
        <is>
          <t>Expense</t>
        </is>
      </c>
      <c r="D192" t="inlineStr"/>
      <c r="E192" t="inlineStr">
        <is>
          <t>Redwood Prototyping</t>
        </is>
      </c>
      <c r="F192" t="inlineStr">
        <is>
          <t>Redwood Prototyping invoice 33964</t>
        </is>
      </c>
      <c r="H192" t="inlineStr">
        <is>
          <t>6100 Contract Engineering</t>
        </is>
      </c>
      <c r="I192">
        <f>-938.89</f>
        <v/>
      </c>
      <c r="J192">
        <f>429010.50</f>
        <v/>
      </c>
    </row>
    <row r="193">
      <c r="B193" t="inlineStr">
        <is>
          <t>07/06/2025</t>
        </is>
      </c>
      <c r="C193" t="inlineStr">
        <is>
          <t>Expense</t>
        </is>
      </c>
      <c r="D193" t="inlineStr"/>
      <c r="E193" t="inlineStr">
        <is>
          <t>Fabrikam Freight</t>
        </is>
      </c>
      <c r="F193" t="inlineStr">
        <is>
          <t>Fabrikam Freight invoice 90285</t>
        </is>
      </c>
      <c r="H193" t="inlineStr">
        <is>
          <t>5100 Shipping and Freight</t>
        </is>
      </c>
      <c r="I193">
        <f>-591.68</f>
        <v/>
      </c>
      <c r="J193">
        <f>428418.82</f>
        <v/>
      </c>
    </row>
    <row r="194">
      <c r="B194" t="inlineStr">
        <is>
          <t>07/08/2025</t>
        </is>
      </c>
      <c r="C194" t="inlineStr">
        <is>
          <t>Expense</t>
        </is>
      </c>
      <c r="D194" t="inlineStr"/>
      <c r="E194" t="inlineStr">
        <is>
          <t>Redwood Prototyping</t>
        </is>
      </c>
      <c r="F194" t="inlineStr">
        <is>
          <t>Redwood Prototyping invoice 96889</t>
        </is>
      </c>
      <c r="H194" t="inlineStr">
        <is>
          <t>6100 Contract Engineering</t>
        </is>
      </c>
      <c r="I194">
        <f>-403.86</f>
        <v/>
      </c>
      <c r="J194">
        <f>428014.96</f>
        <v/>
      </c>
    </row>
    <row r="195">
      <c r="B195" t="inlineStr">
        <is>
          <t>07/10/2025</t>
        </is>
      </c>
      <c r="C195" t="inlineStr">
        <is>
          <t>Payment</t>
        </is>
      </c>
      <c r="D195" t="inlineStr"/>
      <c r="E195" t="inlineStr">
        <is>
          <t>Helios Manufacturing LLC</t>
        </is>
      </c>
      <c r="F195" t="inlineStr">
        <is>
          <t>Payment on INV-1010</t>
        </is>
      </c>
      <c r="H195" t="inlineStr">
        <is>
          <t>1100 Accounts Receivable</t>
        </is>
      </c>
      <c r="I195">
        <f>40356.02</f>
        <v/>
      </c>
      <c r="J195">
        <f>468370.98</f>
        <v/>
      </c>
    </row>
    <row r="196">
      <c r="B196" t="inlineStr">
        <is>
          <t>07/10/2025</t>
        </is>
      </c>
      <c r="C196" t="inlineStr">
        <is>
          <t>Payment</t>
        </is>
      </c>
      <c r="D196" t="inlineStr"/>
      <c r="E196" t="inlineStr">
        <is>
          <t>Helios Manufacturing LLC</t>
        </is>
      </c>
      <c r="F196" t="inlineStr">
        <is>
          <t>Payment on INV-1011</t>
        </is>
      </c>
      <c r="H196" t="inlineStr">
        <is>
          <t>1100 Accounts Receivable</t>
        </is>
      </c>
      <c r="I196">
        <f>7750.00</f>
        <v/>
      </c>
      <c r="J196">
        <f>476120.98</f>
        <v/>
      </c>
    </row>
    <row r="197">
      <c r="B197" t="inlineStr">
        <is>
          <t>07/10/2025</t>
        </is>
      </c>
      <c r="C197" t="inlineStr">
        <is>
          <t>Expense</t>
        </is>
      </c>
      <c r="D197" t="inlineStr"/>
      <c r="E197" t="inlineStr">
        <is>
          <t>Fabrikam Freight</t>
        </is>
      </c>
      <c r="F197" t="inlineStr">
        <is>
          <t>Fabrikam Freight invoice 30035</t>
        </is>
      </c>
      <c r="H197" t="inlineStr">
        <is>
          <t>5100 Shipping and Freight</t>
        </is>
      </c>
      <c r="I197">
        <f>-488.51</f>
        <v/>
      </c>
      <c r="J197">
        <f>475632.47</f>
        <v/>
      </c>
    </row>
    <row r="198">
      <c r="B198" t="inlineStr">
        <is>
          <t>07/10/2025</t>
        </is>
      </c>
      <c r="C198" t="inlineStr">
        <is>
          <t>Expense</t>
        </is>
      </c>
      <c r="D198" t="inlineStr"/>
      <c r="E198" t="inlineStr">
        <is>
          <t>Fabrikam Freight</t>
        </is>
      </c>
      <c r="F198" t="inlineStr">
        <is>
          <t>Fabrikam Freight invoice 81571</t>
        </is>
      </c>
      <c r="H198" t="inlineStr">
        <is>
          <t>5100 Shipping and Freight</t>
        </is>
      </c>
      <c r="I198">
        <f>-229.32</f>
        <v/>
      </c>
      <c r="J198">
        <f>475403.15</f>
        <v/>
      </c>
    </row>
    <row r="199">
      <c r="B199" t="inlineStr">
        <is>
          <t>07/12/2025</t>
        </is>
      </c>
      <c r="C199" t="inlineStr">
        <is>
          <t>Bill Payment</t>
        </is>
      </c>
      <c r="D199" t="inlineStr"/>
      <c r="E199" t="inlineStr">
        <is>
          <t>Northwind Supply</t>
        </is>
      </c>
      <c r="F199" t="inlineStr">
        <is>
          <t>Payment on NWS-4405</t>
        </is>
      </c>
      <c r="H199" t="inlineStr">
        <is>
          <t>2010 Accounts Payable</t>
        </is>
      </c>
      <c r="I199">
        <f>-12296.55</f>
        <v/>
      </c>
      <c r="J199">
        <f>463106.60</f>
        <v/>
      </c>
    </row>
    <row r="200">
      <c r="B200" t="inlineStr">
        <is>
          <t>07/12/2025</t>
        </is>
      </c>
      <c r="C200" t="inlineStr">
        <is>
          <t>Expense</t>
        </is>
      </c>
      <c r="D200" t="inlineStr"/>
      <c r="E200" t="inlineStr">
        <is>
          <t>Northwind Supply</t>
        </is>
      </c>
      <c r="F200" t="inlineStr">
        <is>
          <t>Northwind Supply invoice 36272</t>
        </is>
      </c>
      <c r="H200" t="inlineStr">
        <is>
          <t>5000 Cost of Goods Sold - Components</t>
        </is>
      </c>
      <c r="I200">
        <f>-1183.69</f>
        <v/>
      </c>
      <c r="J200">
        <f>461922.91</f>
        <v/>
      </c>
    </row>
    <row r="201">
      <c r="B201" t="inlineStr">
        <is>
          <t>07/12/2025</t>
        </is>
      </c>
      <c r="C201" t="inlineStr">
        <is>
          <t>Expense</t>
        </is>
      </c>
      <c r="D201" t="inlineStr"/>
      <c r="E201" t="inlineStr">
        <is>
          <t>Bluepeak Engineering</t>
        </is>
      </c>
      <c r="F201" t="inlineStr">
        <is>
          <t>Bluepeak Engineering invoice 52711</t>
        </is>
      </c>
      <c r="H201" t="inlineStr">
        <is>
          <t>6100 Contract Engineering</t>
        </is>
      </c>
      <c r="I201">
        <f>-1089.22</f>
        <v/>
      </c>
      <c r="J201">
        <f>460833.69</f>
        <v/>
      </c>
    </row>
    <row r="202">
      <c r="B202" t="inlineStr">
        <is>
          <t>07/13/2025</t>
        </is>
      </c>
      <c r="C202" t="inlineStr">
        <is>
          <t>Expense</t>
        </is>
      </c>
      <c r="D202" t="inlineStr"/>
      <c r="E202" t="inlineStr">
        <is>
          <t>Litware Legal</t>
        </is>
      </c>
      <c r="F202" t="inlineStr">
        <is>
          <t>Litware Legal invoice 30501</t>
        </is>
      </c>
      <c r="H202" t="inlineStr">
        <is>
          <t>6800 Professional Fees</t>
        </is>
      </c>
      <c r="I202">
        <f>-873.19</f>
        <v/>
      </c>
      <c r="J202">
        <f>459960.50</f>
        <v/>
      </c>
    </row>
    <row r="203">
      <c r="B203" t="inlineStr">
        <is>
          <t>07/15/2025</t>
        </is>
      </c>
      <c r="C203" t="inlineStr">
        <is>
          <t>Expense</t>
        </is>
      </c>
      <c r="D203" t="inlineStr"/>
      <c r="E203" t="inlineStr">
        <is>
          <t>Proseware Payroll</t>
        </is>
      </c>
      <c r="F203" t="inlineStr">
        <is>
          <t>Proseware payroll debit 2025-07-15</t>
        </is>
      </c>
      <c r="H203" t="inlineStr">
        <is>
          <t>-Split-</t>
        </is>
      </c>
      <c r="I203">
        <f>-23360.05</f>
        <v/>
      </c>
      <c r="J203">
        <f>436600.45</f>
        <v/>
      </c>
    </row>
    <row r="204">
      <c r="B204" t="inlineStr">
        <is>
          <t>07/15/2025</t>
        </is>
      </c>
      <c r="C204" t="inlineStr">
        <is>
          <t>Deposit</t>
        </is>
      </c>
      <c r="D204" t="inlineStr"/>
      <c r="E204" t="inlineStr">
        <is>
          <t>Paylane</t>
        </is>
      </c>
      <c r="F204" t="inlineStr">
        <is>
          <t>Paylane payout 2025-07 #1</t>
        </is>
      </c>
      <c r="H204" t="inlineStr">
        <is>
          <t>1200 Paylane Clearing</t>
        </is>
      </c>
      <c r="I204">
        <f>17936.71</f>
        <v/>
      </c>
      <c r="J204">
        <f>454537.16</f>
        <v/>
      </c>
    </row>
    <row r="205">
      <c r="B205" t="inlineStr">
        <is>
          <t>07/15/2025</t>
        </is>
      </c>
      <c r="C205" t="inlineStr">
        <is>
          <t>Expense</t>
        </is>
      </c>
      <c r="D205" t="inlineStr"/>
      <c r="E205" t="inlineStr">
        <is>
          <t>Bluepeak Engineering</t>
        </is>
      </c>
      <c r="F205" t="inlineStr">
        <is>
          <t>Bluepeak Engineering invoice 68953</t>
        </is>
      </c>
      <c r="H205" t="inlineStr">
        <is>
          <t>6100 Contract Engineering</t>
        </is>
      </c>
      <c r="I205">
        <f>-1211.82</f>
        <v/>
      </c>
      <c r="J205">
        <f>453325.34</f>
        <v/>
      </c>
    </row>
    <row r="206">
      <c r="B206" t="inlineStr">
        <is>
          <t>07/15/2025</t>
        </is>
      </c>
      <c r="C206" t="inlineStr">
        <is>
          <t>Expense</t>
        </is>
      </c>
      <c r="D206" t="inlineStr"/>
      <c r="E206" t="inlineStr">
        <is>
          <t>Northwind Supply</t>
        </is>
      </c>
      <c r="F206" t="inlineStr">
        <is>
          <t>Northwind Supply invoice 79584</t>
        </is>
      </c>
      <c r="H206" t="inlineStr">
        <is>
          <t>5000 Cost of Goods Sold - Components</t>
        </is>
      </c>
      <c r="I206">
        <f>-336.83</f>
        <v/>
      </c>
      <c r="J206">
        <f>452988.51</f>
        <v/>
      </c>
    </row>
    <row r="207">
      <c r="B207" t="inlineStr">
        <is>
          <t>07/15/2025</t>
        </is>
      </c>
      <c r="C207" t="inlineStr">
        <is>
          <t>Expense</t>
        </is>
      </c>
      <c r="D207" t="inlineStr"/>
      <c r="E207" t="inlineStr">
        <is>
          <t>Bluepeak Engineering</t>
        </is>
      </c>
      <c r="F207" t="inlineStr">
        <is>
          <t>Bluepeak Engineering invoice 26007</t>
        </is>
      </c>
      <c r="H207" t="inlineStr">
        <is>
          <t>6100 Contract Engineering</t>
        </is>
      </c>
      <c r="I207">
        <f>-1636.48</f>
        <v/>
      </c>
      <c r="J207">
        <f>451352.03</f>
        <v/>
      </c>
    </row>
    <row r="208">
      <c r="B208" t="inlineStr">
        <is>
          <t>07/16/2025</t>
        </is>
      </c>
      <c r="C208" t="inlineStr">
        <is>
          <t>Expense</t>
        </is>
      </c>
      <c r="D208" t="inlineStr"/>
      <c r="E208" t="inlineStr">
        <is>
          <t>Fabrikam Freight</t>
        </is>
      </c>
      <c r="F208" t="inlineStr">
        <is>
          <t>Fabrikam Freight invoice 24499</t>
        </is>
      </c>
      <c r="H208" t="inlineStr">
        <is>
          <t>5100 Shipping and Freight</t>
        </is>
      </c>
      <c r="I208">
        <f>-153.84</f>
        <v/>
      </c>
      <c r="J208">
        <f>451198.19</f>
        <v/>
      </c>
    </row>
    <row r="209">
      <c r="B209" t="inlineStr">
        <is>
          <t>07/17/2025</t>
        </is>
      </c>
      <c r="C209" t="inlineStr">
        <is>
          <t>Expense</t>
        </is>
      </c>
      <c r="D209" t="inlineStr"/>
      <c r="E209" t="inlineStr">
        <is>
          <t>Quartz CAD Services</t>
        </is>
      </c>
      <c r="F209" t="inlineStr">
        <is>
          <t>Quartz CAD Services invoice 88789</t>
        </is>
      </c>
      <c r="H209" t="inlineStr">
        <is>
          <t>6100 Contract Engineering</t>
        </is>
      </c>
      <c r="I209">
        <f>-433.71</f>
        <v/>
      </c>
      <c r="J209">
        <f>450764.48</f>
        <v/>
      </c>
    </row>
    <row r="210">
      <c r="B210" t="inlineStr">
        <is>
          <t>07/18/2025</t>
        </is>
      </c>
      <c r="C210" t="inlineStr">
        <is>
          <t>Expense</t>
        </is>
      </c>
      <c r="D210" t="inlineStr"/>
      <c r="E210" t="inlineStr">
        <is>
          <t>Trey Research</t>
        </is>
      </c>
      <c r="F210" t="inlineStr">
        <is>
          <t>Trey Research monthly engagement</t>
        </is>
      </c>
      <c r="H210" t="inlineStr">
        <is>
          <t>6600 Marketing and Advertising</t>
        </is>
      </c>
      <c r="I210">
        <f>-2900.42</f>
        <v/>
      </c>
      <c r="J210">
        <f>447864.06</f>
        <v/>
      </c>
    </row>
    <row r="211">
      <c r="B211" t="inlineStr">
        <is>
          <t>07/20/2025</t>
        </is>
      </c>
      <c r="C211" t="inlineStr">
        <is>
          <t>Expense</t>
        </is>
      </c>
      <c r="D211" t="inlineStr"/>
      <c r="E211" t="inlineStr">
        <is>
          <t>Redwood Prototyping</t>
        </is>
      </c>
      <c r="F211" t="inlineStr">
        <is>
          <t>Redwood Prototyping invoice 19546</t>
        </is>
      </c>
      <c r="H211" t="inlineStr">
        <is>
          <t>6100 Contract Engineering</t>
        </is>
      </c>
      <c r="I211">
        <f>-779.28</f>
        <v/>
      </c>
      <c r="J211">
        <f>447084.78</f>
        <v/>
      </c>
    </row>
    <row r="212">
      <c r="B212" t="inlineStr">
        <is>
          <t>07/22/2025</t>
        </is>
      </c>
      <c r="C212" t="inlineStr">
        <is>
          <t>Expense</t>
        </is>
      </c>
      <c r="D212" t="inlineStr"/>
      <c r="E212" t="inlineStr">
        <is>
          <t>Bluepeak Engineering</t>
        </is>
      </c>
      <c r="F212" t="inlineStr">
        <is>
          <t>Bluepeak Engineering invoice 61186</t>
        </is>
      </c>
      <c r="H212" t="inlineStr">
        <is>
          <t>6100 Contract Engineering</t>
        </is>
      </c>
      <c r="I212">
        <f>-486.07</f>
        <v/>
      </c>
      <c r="J212">
        <f>446598.71</f>
        <v/>
      </c>
    </row>
    <row r="213">
      <c r="B213" t="inlineStr">
        <is>
          <t>07/23/2025</t>
        </is>
      </c>
      <c r="C213" t="inlineStr">
        <is>
          <t>Expense</t>
        </is>
      </c>
      <c r="D213" t="inlineStr"/>
      <c r="E213" t="inlineStr">
        <is>
          <t>Litware Legal</t>
        </is>
      </c>
      <c r="F213" t="inlineStr">
        <is>
          <t>Litware Legal invoice 13137</t>
        </is>
      </c>
      <c r="H213" t="inlineStr">
        <is>
          <t>6800 Professional Fees</t>
        </is>
      </c>
      <c r="I213">
        <f>-1389.81</f>
        <v/>
      </c>
      <c r="J213">
        <f>445208.90</f>
        <v/>
      </c>
    </row>
    <row r="214">
      <c r="B214" t="inlineStr">
        <is>
          <t>07/25/2025</t>
        </is>
      </c>
      <c r="C214" t="inlineStr">
        <is>
          <t>Expense</t>
        </is>
      </c>
      <c r="D214" t="inlineStr"/>
      <c r="E214" t="inlineStr">
        <is>
          <t>Bluepeak Engineering</t>
        </is>
      </c>
      <c r="F214" t="inlineStr">
        <is>
          <t>Bluepeak Engineering invoice 36631</t>
        </is>
      </c>
      <c r="H214" t="inlineStr">
        <is>
          <t>6100 Contract Engineering</t>
        </is>
      </c>
      <c r="I214">
        <f>-1793.97</f>
        <v/>
      </c>
      <c r="J214">
        <f>443414.93</f>
        <v/>
      </c>
    </row>
    <row r="215">
      <c r="B215" t="inlineStr">
        <is>
          <t>07/26/2025</t>
        </is>
      </c>
      <c r="C215" t="inlineStr">
        <is>
          <t>Expense</t>
        </is>
      </c>
      <c r="D215" t="inlineStr"/>
      <c r="E215" t="inlineStr">
        <is>
          <t>Quartz CAD Services</t>
        </is>
      </c>
      <c r="F215" t="inlineStr">
        <is>
          <t>Quartz CAD Services invoice 67026</t>
        </is>
      </c>
      <c r="H215" t="inlineStr">
        <is>
          <t>6100 Contract Engineering</t>
        </is>
      </c>
      <c r="I215">
        <f>-643.06</f>
        <v/>
      </c>
      <c r="J215">
        <f>442771.87</f>
        <v/>
      </c>
    </row>
    <row r="216">
      <c r="B216" t="inlineStr">
        <is>
          <t>07/31/2025</t>
        </is>
      </c>
      <c r="C216" t="inlineStr">
        <is>
          <t>Expense</t>
        </is>
      </c>
      <c r="D216" t="inlineStr"/>
      <c r="E216" t="inlineStr">
        <is>
          <t>Proseware Payroll</t>
        </is>
      </c>
      <c r="F216" t="inlineStr">
        <is>
          <t>Proseware payroll debit 2025-07-31</t>
        </is>
      </c>
      <c r="H216" t="inlineStr">
        <is>
          <t>-Split-</t>
        </is>
      </c>
      <c r="I216">
        <f>-23360.05</f>
        <v/>
      </c>
      <c r="J216">
        <f>419411.82</f>
        <v/>
      </c>
    </row>
    <row r="217">
      <c r="B217" t="inlineStr">
        <is>
          <t>07/31/2025</t>
        </is>
      </c>
      <c r="C217" t="inlineStr">
        <is>
          <t>Deposit</t>
        </is>
      </c>
      <c r="D217" t="inlineStr"/>
      <c r="E217" t="inlineStr">
        <is>
          <t>Paylane</t>
        </is>
      </c>
      <c r="F217" t="inlineStr">
        <is>
          <t>Paylane payout 2025-07 #2</t>
        </is>
      </c>
      <c r="H217" t="inlineStr">
        <is>
          <t>1200 Paylane Clearing</t>
        </is>
      </c>
      <c r="I217">
        <f>14675.49</f>
        <v/>
      </c>
      <c r="J217">
        <f>434087.31</f>
        <v/>
      </c>
    </row>
    <row r="218">
      <c r="B218" t="inlineStr">
        <is>
          <t>07/31/2025</t>
        </is>
      </c>
      <c r="C218" t="inlineStr">
        <is>
          <t>Expense</t>
        </is>
      </c>
      <c r="D218" t="inlineStr"/>
      <c r="E218" t="inlineStr">
        <is>
          <t>Northgate Bank</t>
        </is>
      </c>
      <c r="F218" t="inlineStr">
        <is>
          <t>Account analysis fee 2025-07</t>
        </is>
      </c>
      <c r="H218" t="inlineStr">
        <is>
          <t>6950 Bank and Processor Fees</t>
        </is>
      </c>
      <c r="I218">
        <f>-45.00</f>
        <v/>
      </c>
      <c r="J218">
        <f>434042.31</f>
        <v/>
      </c>
    </row>
    <row r="219">
      <c r="B219" t="inlineStr">
        <is>
          <t>08/01/2025</t>
        </is>
      </c>
      <c r="C219" t="inlineStr">
        <is>
          <t>Expense</t>
        </is>
      </c>
      <c r="D219" t="inlineStr"/>
      <c r="E219" t="inlineStr">
        <is>
          <t>Wingtip Workspace</t>
        </is>
      </c>
      <c r="F219" t="inlineStr">
        <is>
          <t>Office rent 2025-08</t>
        </is>
      </c>
      <c r="H219" t="inlineStr">
        <is>
          <t>6400 Rent</t>
        </is>
      </c>
      <c r="I219">
        <f>-6500.00</f>
        <v/>
      </c>
      <c r="J219">
        <f>427542.31</f>
        <v/>
      </c>
    </row>
    <row r="220">
      <c r="B220" t="inlineStr">
        <is>
          <t>08/02/2025</t>
        </is>
      </c>
      <c r="C220" t="inlineStr">
        <is>
          <t>Expense</t>
        </is>
      </c>
      <c r="D220" t="inlineStr"/>
      <c r="E220" t="inlineStr">
        <is>
          <t>Quartz CAD Services</t>
        </is>
      </c>
      <c r="F220" t="inlineStr">
        <is>
          <t>Quartz CAD Services invoice 12081</t>
        </is>
      </c>
      <c r="H220" t="inlineStr">
        <is>
          <t>6100 Contract Engineering</t>
        </is>
      </c>
      <c r="I220">
        <f>-190.88</f>
        <v/>
      </c>
      <c r="J220">
        <f>427351.43</f>
        <v/>
      </c>
    </row>
    <row r="221">
      <c r="B221" t="inlineStr">
        <is>
          <t>08/02/2025</t>
        </is>
      </c>
      <c r="C221" t="inlineStr">
        <is>
          <t>Expense</t>
        </is>
      </c>
      <c r="D221" t="inlineStr"/>
      <c r="E221" t="inlineStr">
        <is>
          <t>Bluepeak Engineering</t>
        </is>
      </c>
      <c r="F221" t="inlineStr">
        <is>
          <t>Bluepeak Engineering invoice 56382</t>
        </is>
      </c>
      <c r="H221" t="inlineStr">
        <is>
          <t>6100 Contract Engineering</t>
        </is>
      </c>
      <c r="I221">
        <f>-1093.11</f>
        <v/>
      </c>
      <c r="J221">
        <f>426258.32</f>
        <v/>
      </c>
    </row>
    <row r="222">
      <c r="B222" t="inlineStr">
        <is>
          <t>08/03/2025</t>
        </is>
      </c>
      <c r="C222" t="inlineStr">
        <is>
          <t>Expense</t>
        </is>
      </c>
      <c r="D222" t="inlineStr"/>
      <c r="E222" t="inlineStr">
        <is>
          <t>Litware Legal</t>
        </is>
      </c>
      <c r="F222" t="inlineStr">
        <is>
          <t>Litware Legal invoice 91552</t>
        </is>
      </c>
      <c r="H222" t="inlineStr">
        <is>
          <t>6800 Professional Fees</t>
        </is>
      </c>
      <c r="I222">
        <f>-498.28</f>
        <v/>
      </c>
      <c r="J222">
        <f>425760.04</f>
        <v/>
      </c>
    </row>
    <row r="223">
      <c r="B223" t="inlineStr">
        <is>
          <t>08/04/2025</t>
        </is>
      </c>
      <c r="C223" t="inlineStr">
        <is>
          <t>Expense</t>
        </is>
      </c>
      <c r="D223" t="inlineStr"/>
      <c r="E223" t="inlineStr">
        <is>
          <t>Northwind Supply</t>
        </is>
      </c>
      <c r="F223" t="inlineStr">
        <is>
          <t>Northwind Supply invoice 19059</t>
        </is>
      </c>
      <c r="H223" t="inlineStr">
        <is>
          <t>5000 Cost of Goods Sold - Components</t>
        </is>
      </c>
      <c r="I223">
        <f>-1157.89</f>
        <v/>
      </c>
      <c r="J223">
        <f>424602.15</f>
        <v/>
      </c>
    </row>
    <row r="224">
      <c r="B224" t="inlineStr">
        <is>
          <t>08/04/2025</t>
        </is>
      </c>
      <c r="C224" t="inlineStr">
        <is>
          <t>Expense</t>
        </is>
      </c>
      <c r="D224" t="inlineStr"/>
      <c r="E224" t="inlineStr">
        <is>
          <t>Quartz CAD Services</t>
        </is>
      </c>
      <c r="F224" t="inlineStr">
        <is>
          <t>Quartz CAD Services invoice 67740</t>
        </is>
      </c>
      <c r="H224" t="inlineStr">
        <is>
          <t>6100 Contract Engineering</t>
        </is>
      </c>
      <c r="I224">
        <f>-808.40</f>
        <v/>
      </c>
      <c r="J224">
        <f>423793.75</f>
        <v/>
      </c>
    </row>
    <row r="225">
      <c r="B225" t="inlineStr">
        <is>
          <t>08/04/2025</t>
        </is>
      </c>
      <c r="C225" t="inlineStr">
        <is>
          <t>Expense</t>
        </is>
      </c>
      <c r="D225" t="inlineStr"/>
      <c r="E225" t="inlineStr">
        <is>
          <t>Northwind Supply</t>
        </is>
      </c>
      <c r="F225" t="inlineStr">
        <is>
          <t>Northwind Supply invoice 22668</t>
        </is>
      </c>
      <c r="H225" t="inlineStr">
        <is>
          <t>5000 Cost of Goods Sold - Components</t>
        </is>
      </c>
      <c r="I225">
        <f>-541.57</f>
        <v/>
      </c>
      <c r="J225">
        <f>423252.18</f>
        <v/>
      </c>
    </row>
    <row r="226">
      <c r="B226" t="inlineStr">
        <is>
          <t>08/04/2025</t>
        </is>
      </c>
      <c r="C226" t="inlineStr">
        <is>
          <t>Expense</t>
        </is>
      </c>
      <c r="D226" t="inlineStr"/>
      <c r="E226" t="inlineStr">
        <is>
          <t>Fabrikam Freight</t>
        </is>
      </c>
      <c r="F226" t="inlineStr">
        <is>
          <t>Fabrikam Freight invoice 92616</t>
        </is>
      </c>
      <c r="H226" t="inlineStr">
        <is>
          <t>5100 Shipping and Freight</t>
        </is>
      </c>
      <c r="I226">
        <f>-761.97</f>
        <v/>
      </c>
      <c r="J226">
        <f>422490.21</f>
        <v/>
      </c>
    </row>
    <row r="227">
      <c r="B227" t="inlineStr">
        <is>
          <t>08/05/2025</t>
        </is>
      </c>
      <c r="C227" t="inlineStr">
        <is>
          <t>Expense</t>
        </is>
      </c>
      <c r="D227" t="inlineStr"/>
      <c r="E227" t="inlineStr">
        <is>
          <t>Vantage Card</t>
        </is>
      </c>
      <c r="F227" t="inlineStr">
        <is>
          <t>Vantage card payment</t>
        </is>
      </c>
      <c r="H227" t="inlineStr">
        <is>
          <t>2100 Vantage Card 3391</t>
        </is>
      </c>
      <c r="I227">
        <f>-11377.24</f>
        <v/>
      </c>
      <c r="J227">
        <f>411112.97</f>
        <v/>
      </c>
    </row>
    <row r="228">
      <c r="B228" t="inlineStr">
        <is>
          <t>08/05/2025</t>
        </is>
      </c>
      <c r="C228" t="inlineStr">
        <is>
          <t>Transfer</t>
        </is>
      </c>
      <c r="D228" t="inlineStr"/>
      <c r="E228" t="inlineStr"/>
      <c r="F228" t="inlineStr">
        <is>
          <t>Transfer to savings</t>
        </is>
      </c>
      <c r="H228" t="inlineStr">
        <is>
          <t>1020 Northgate Savings 7809</t>
        </is>
      </c>
      <c r="I228">
        <f>-5000.00</f>
        <v/>
      </c>
      <c r="J228">
        <f>406112.97</f>
        <v/>
      </c>
    </row>
    <row r="229">
      <c r="B229" t="inlineStr">
        <is>
          <t>08/05/2025</t>
        </is>
      </c>
      <c r="C229" t="inlineStr">
        <is>
          <t>Expense</t>
        </is>
      </c>
      <c r="D229" t="inlineStr"/>
      <c r="E229" t="inlineStr">
        <is>
          <t>Northwind Supply</t>
        </is>
      </c>
      <c r="F229" t="inlineStr">
        <is>
          <t>Northwind Supply invoice 72369</t>
        </is>
      </c>
      <c r="H229" t="inlineStr">
        <is>
          <t>5000 Cost of Goods Sold - Components</t>
        </is>
      </c>
      <c r="I229">
        <f>-284.19</f>
        <v/>
      </c>
      <c r="J229">
        <f>405828.78</f>
        <v/>
      </c>
    </row>
    <row r="230">
      <c r="B230" t="inlineStr">
        <is>
          <t>08/05/2025</t>
        </is>
      </c>
      <c r="C230" t="inlineStr">
        <is>
          <t>Expense</t>
        </is>
      </c>
      <c r="D230" t="inlineStr"/>
      <c r="E230" t="inlineStr">
        <is>
          <t>Fabrikam Freight</t>
        </is>
      </c>
      <c r="F230" t="inlineStr">
        <is>
          <t>Fabrikam Freight invoice 86089</t>
        </is>
      </c>
      <c r="H230" t="inlineStr">
        <is>
          <t>5100 Shipping and Freight</t>
        </is>
      </c>
      <c r="I230">
        <f>-409.62</f>
        <v/>
      </c>
      <c r="J230">
        <f>405419.16</f>
        <v/>
      </c>
    </row>
    <row r="231">
      <c r="B231" t="inlineStr">
        <is>
          <t>08/05/2025</t>
        </is>
      </c>
      <c r="C231" t="inlineStr">
        <is>
          <t>Expense</t>
        </is>
      </c>
      <c r="D231" t="inlineStr"/>
      <c r="E231" t="inlineStr">
        <is>
          <t>Northwind Supply</t>
        </is>
      </c>
      <c r="F231" t="inlineStr">
        <is>
          <t>Northwind Supply invoice 43210</t>
        </is>
      </c>
      <c r="H231" t="inlineStr">
        <is>
          <t>5000 Cost of Goods Sold - Components</t>
        </is>
      </c>
      <c r="I231">
        <f>-943.58</f>
        <v/>
      </c>
      <c r="J231">
        <f>404475.58</f>
        <v/>
      </c>
    </row>
    <row r="232">
      <c r="B232" t="inlineStr">
        <is>
          <t>08/05/2025</t>
        </is>
      </c>
      <c r="C232" t="inlineStr">
        <is>
          <t>Expense</t>
        </is>
      </c>
      <c r="D232" t="inlineStr"/>
      <c r="E232" t="inlineStr">
        <is>
          <t>Fabrikam Freight</t>
        </is>
      </c>
      <c r="F232" t="inlineStr">
        <is>
          <t>Fabrikam Freight invoice 61775</t>
        </is>
      </c>
      <c r="H232" t="inlineStr">
        <is>
          <t>5100 Shipping and Freight</t>
        </is>
      </c>
      <c r="I232">
        <f>-530.91</f>
        <v/>
      </c>
      <c r="J232">
        <f>403944.67</f>
        <v/>
      </c>
    </row>
    <row r="233">
      <c r="B233" t="inlineStr">
        <is>
          <t>08/06/2025</t>
        </is>
      </c>
      <c r="C233" t="inlineStr">
        <is>
          <t>Expense</t>
        </is>
      </c>
      <c r="D233" t="inlineStr"/>
      <c r="E233" t="inlineStr">
        <is>
          <t>Litware Legal</t>
        </is>
      </c>
      <c r="F233" t="inlineStr">
        <is>
          <t>Litware Legal invoice 88620</t>
        </is>
      </c>
      <c r="H233" t="inlineStr">
        <is>
          <t>6800 Professional Fees</t>
        </is>
      </c>
      <c r="I233">
        <f>-379.68</f>
        <v/>
      </c>
      <c r="J233">
        <f>403564.99</f>
        <v/>
      </c>
    </row>
    <row r="234">
      <c r="B234" t="inlineStr">
        <is>
          <t>08/09/2025</t>
        </is>
      </c>
      <c r="C234" t="inlineStr">
        <is>
          <t>Expense</t>
        </is>
      </c>
      <c r="D234" t="inlineStr"/>
      <c r="E234" t="inlineStr">
        <is>
          <t>Fabrikam Freight</t>
        </is>
      </c>
      <c r="F234" t="inlineStr">
        <is>
          <t>Fabrikam Freight invoice 16404</t>
        </is>
      </c>
      <c r="H234" t="inlineStr">
        <is>
          <t>5100 Shipping and Freight</t>
        </is>
      </c>
      <c r="I234">
        <f>-586.56</f>
        <v/>
      </c>
      <c r="J234">
        <f>402978.43</f>
        <v/>
      </c>
    </row>
    <row r="235">
      <c r="B235" t="inlineStr">
        <is>
          <t>08/10/2025</t>
        </is>
      </c>
      <c r="C235" t="inlineStr">
        <is>
          <t>Payment</t>
        </is>
      </c>
      <c r="D235" t="inlineStr"/>
      <c r="E235" t="inlineStr">
        <is>
          <t>Meridian Automation Co</t>
        </is>
      </c>
      <c r="F235" t="inlineStr">
        <is>
          <t>Payment on INV-1012</t>
        </is>
      </c>
      <c r="H235" t="inlineStr">
        <is>
          <t>1100 Accounts Receivable</t>
        </is>
      </c>
      <c r="I235">
        <f>41415.68</f>
        <v/>
      </c>
      <c r="J235">
        <f>444394.11</f>
        <v/>
      </c>
    </row>
    <row r="236">
      <c r="B236" t="inlineStr">
        <is>
          <t>08/10/2025</t>
        </is>
      </c>
      <c r="C236" t="inlineStr">
        <is>
          <t>Payment</t>
        </is>
      </c>
      <c r="D236" t="inlineStr"/>
      <c r="E236" t="inlineStr">
        <is>
          <t>Meridian Automation Co</t>
        </is>
      </c>
      <c r="F236" t="inlineStr">
        <is>
          <t>Payment on INV-1013</t>
        </is>
      </c>
      <c r="H236" t="inlineStr">
        <is>
          <t>1100 Accounts Receivable</t>
        </is>
      </c>
      <c r="I236">
        <f>8000.00</f>
        <v/>
      </c>
      <c r="J236">
        <f>452394.11</f>
        <v/>
      </c>
    </row>
    <row r="237">
      <c r="B237" t="inlineStr">
        <is>
          <t>08/10/2025</t>
        </is>
      </c>
      <c r="C237" t="inlineStr">
        <is>
          <t>Expense</t>
        </is>
      </c>
      <c r="D237" t="inlineStr"/>
      <c r="E237" t="inlineStr">
        <is>
          <t>Northwind Supply</t>
        </is>
      </c>
      <c r="F237" t="inlineStr">
        <is>
          <t>Northwind Supply invoice 97003</t>
        </is>
      </c>
      <c r="H237" t="inlineStr">
        <is>
          <t>5000 Cost of Goods Sold - Components</t>
        </is>
      </c>
      <c r="I237">
        <f>-274.18</f>
        <v/>
      </c>
      <c r="J237">
        <f>452119.93</f>
        <v/>
      </c>
    </row>
    <row r="238">
      <c r="B238" t="inlineStr">
        <is>
          <t>08/10/2025</t>
        </is>
      </c>
      <c r="C238" t="inlineStr">
        <is>
          <t>Expense</t>
        </is>
      </c>
      <c r="D238" t="inlineStr"/>
      <c r="E238" t="inlineStr">
        <is>
          <t>Redwood Prototyping</t>
        </is>
      </c>
      <c r="F238" t="inlineStr">
        <is>
          <t>Redwood Prototyping invoice 30138</t>
        </is>
      </c>
      <c r="H238" t="inlineStr">
        <is>
          <t>6100 Contract Engineering</t>
        </is>
      </c>
      <c r="I238">
        <f>-1301.68</f>
        <v/>
      </c>
      <c r="J238">
        <f>450818.25</f>
        <v/>
      </c>
    </row>
    <row r="239">
      <c r="B239" t="inlineStr">
        <is>
          <t>08/10/2025</t>
        </is>
      </c>
      <c r="C239" t="inlineStr">
        <is>
          <t>Expense</t>
        </is>
      </c>
      <c r="D239" t="inlineStr"/>
      <c r="E239" t="inlineStr">
        <is>
          <t>Bluepeak Engineering</t>
        </is>
      </c>
      <c r="F239" t="inlineStr">
        <is>
          <t>Bluepeak Engineering invoice 66301</t>
        </is>
      </c>
      <c r="H239" t="inlineStr">
        <is>
          <t>6100 Contract Engineering</t>
        </is>
      </c>
      <c r="I239">
        <f>-1455.87</f>
        <v/>
      </c>
      <c r="J239">
        <f>449362.38</f>
        <v/>
      </c>
    </row>
    <row r="240">
      <c r="B240" t="inlineStr">
        <is>
          <t>08/11/2025</t>
        </is>
      </c>
      <c r="C240" t="inlineStr">
        <is>
          <t>Expense</t>
        </is>
      </c>
      <c r="D240" t="inlineStr"/>
      <c r="E240" t="inlineStr">
        <is>
          <t>Bluepeak Engineering</t>
        </is>
      </c>
      <c r="F240" t="inlineStr">
        <is>
          <t>Bluepeak Engineering invoice 23787</t>
        </is>
      </c>
      <c r="H240" t="inlineStr">
        <is>
          <t>6100 Contract Engineering</t>
        </is>
      </c>
      <c r="I240">
        <f>-547.36</f>
        <v/>
      </c>
      <c r="J240">
        <f>448815.02</f>
        <v/>
      </c>
    </row>
    <row r="241">
      <c r="B241" t="inlineStr">
        <is>
          <t>08/11/2025</t>
        </is>
      </c>
      <c r="C241" t="inlineStr">
        <is>
          <t>Expense</t>
        </is>
      </c>
      <c r="D241" t="inlineStr"/>
      <c r="E241" t="inlineStr">
        <is>
          <t>Northwind Supply</t>
        </is>
      </c>
      <c r="F241" t="inlineStr">
        <is>
          <t>Northwind Supply invoice 44927</t>
        </is>
      </c>
      <c r="H241" t="inlineStr">
        <is>
          <t>5000 Cost of Goods Sold - Components</t>
        </is>
      </c>
      <c r="I241">
        <f>-1022.38</f>
        <v/>
      </c>
      <c r="J241">
        <f>447792.64</f>
        <v/>
      </c>
    </row>
    <row r="242">
      <c r="B242" t="inlineStr">
        <is>
          <t>08/12/2025</t>
        </is>
      </c>
      <c r="C242" t="inlineStr">
        <is>
          <t>Bill Payment</t>
        </is>
      </c>
      <c r="D242" t="inlineStr"/>
      <c r="E242" t="inlineStr">
        <is>
          <t>Northwind Supply</t>
        </is>
      </c>
      <c r="F242" t="inlineStr">
        <is>
          <t>Payment on NWS-4406</t>
        </is>
      </c>
      <c r="H242" t="inlineStr">
        <is>
          <t>2010 Accounts Payable</t>
        </is>
      </c>
      <c r="I242">
        <f>-12857.68</f>
        <v/>
      </c>
      <c r="J242">
        <f>434934.96</f>
        <v/>
      </c>
    </row>
    <row r="243">
      <c r="B243" t="inlineStr">
        <is>
          <t>08/12/2025</t>
        </is>
      </c>
      <c r="C243" t="inlineStr">
        <is>
          <t>Expense</t>
        </is>
      </c>
      <c r="D243" t="inlineStr"/>
      <c r="E243" t="inlineStr">
        <is>
          <t>Redwood Prototyping</t>
        </is>
      </c>
      <c r="F243" t="inlineStr">
        <is>
          <t>Redwood Prototyping invoice 51443</t>
        </is>
      </c>
      <c r="H243" t="inlineStr">
        <is>
          <t>6100 Contract Engineering</t>
        </is>
      </c>
      <c r="I243">
        <f>-1078.79</f>
        <v/>
      </c>
      <c r="J243">
        <f>433856.17</f>
        <v/>
      </c>
    </row>
    <row r="244">
      <c r="B244" t="inlineStr">
        <is>
          <t>08/13/2025</t>
        </is>
      </c>
      <c r="C244" t="inlineStr">
        <is>
          <t>Expense</t>
        </is>
      </c>
      <c r="D244" t="inlineStr"/>
      <c r="E244" t="inlineStr">
        <is>
          <t>Litware Legal</t>
        </is>
      </c>
      <c r="F244" t="inlineStr">
        <is>
          <t>Litware Legal invoice 52958</t>
        </is>
      </c>
      <c r="H244" t="inlineStr">
        <is>
          <t>6800 Professional Fees</t>
        </is>
      </c>
      <c r="I244">
        <f>-454.86</f>
        <v/>
      </c>
      <c r="J244">
        <f>433401.31</f>
        <v/>
      </c>
    </row>
    <row r="245">
      <c r="B245" t="inlineStr">
        <is>
          <t>08/14/2025</t>
        </is>
      </c>
      <c r="C245" t="inlineStr">
        <is>
          <t>Expense</t>
        </is>
      </c>
      <c r="D245" t="inlineStr"/>
      <c r="E245" t="inlineStr">
        <is>
          <t>Redwood Prototyping</t>
        </is>
      </c>
      <c r="F245" t="inlineStr">
        <is>
          <t>Redwood Prototyping invoice 47461</t>
        </is>
      </c>
      <c r="H245" t="inlineStr">
        <is>
          <t>6100 Contract Engineering</t>
        </is>
      </c>
      <c r="I245">
        <f>-876.74</f>
        <v/>
      </c>
      <c r="J245">
        <f>432524.57</f>
        <v/>
      </c>
    </row>
    <row r="246">
      <c r="B246" t="inlineStr">
        <is>
          <t>08/14/2025</t>
        </is>
      </c>
      <c r="C246" t="inlineStr">
        <is>
          <t>Expense</t>
        </is>
      </c>
      <c r="D246" t="inlineStr"/>
      <c r="E246" t="inlineStr">
        <is>
          <t>Quartz CAD Services</t>
        </is>
      </c>
      <c r="F246" t="inlineStr">
        <is>
          <t>Quartz CAD Services invoice 45976</t>
        </is>
      </c>
      <c r="H246" t="inlineStr">
        <is>
          <t>6100 Contract Engineering</t>
        </is>
      </c>
      <c r="I246">
        <f>-289.46</f>
        <v/>
      </c>
      <c r="J246">
        <f>432235.11</f>
        <v/>
      </c>
    </row>
    <row r="247">
      <c r="B247" t="inlineStr">
        <is>
          <t>08/14/2025</t>
        </is>
      </c>
      <c r="C247" t="inlineStr">
        <is>
          <t>Expense</t>
        </is>
      </c>
      <c r="D247" t="inlineStr"/>
      <c r="E247" t="inlineStr">
        <is>
          <t>Quartz CAD Services</t>
        </is>
      </c>
      <c r="F247" t="inlineStr">
        <is>
          <t>Quartz CAD Services invoice 27500</t>
        </is>
      </c>
      <c r="H247" t="inlineStr">
        <is>
          <t>6100 Contract Engineering</t>
        </is>
      </c>
      <c r="I247">
        <f>-345.32</f>
        <v/>
      </c>
      <c r="J247">
        <f>431889.79</f>
        <v/>
      </c>
    </row>
    <row r="248">
      <c r="B248" t="inlineStr">
        <is>
          <t>08/15/2025</t>
        </is>
      </c>
      <c r="C248" t="inlineStr">
        <is>
          <t>Expense</t>
        </is>
      </c>
      <c r="D248" t="inlineStr"/>
      <c r="E248" t="inlineStr">
        <is>
          <t>Proseware Payroll</t>
        </is>
      </c>
      <c r="F248" t="inlineStr">
        <is>
          <t>Proseware payroll debit 2025-08-15</t>
        </is>
      </c>
      <c r="H248" t="inlineStr">
        <is>
          <t>-Split-</t>
        </is>
      </c>
      <c r="I248">
        <f>-23844.48</f>
        <v/>
      </c>
      <c r="J248">
        <f>408045.31</f>
        <v/>
      </c>
    </row>
    <row r="249">
      <c r="B249" t="inlineStr">
        <is>
          <t>08/15/2025</t>
        </is>
      </c>
      <c r="C249" t="inlineStr">
        <is>
          <t>Deposit</t>
        </is>
      </c>
      <c r="D249" t="inlineStr"/>
      <c r="E249" t="inlineStr">
        <is>
          <t>Paylane</t>
        </is>
      </c>
      <c r="F249" t="inlineStr">
        <is>
          <t>Paylane payout 2025-08 #1</t>
        </is>
      </c>
      <c r="H249" t="inlineStr">
        <is>
          <t>1200 Paylane Clearing</t>
        </is>
      </c>
      <c r="I249">
        <f>18094.91</f>
        <v/>
      </c>
      <c r="J249">
        <f>426140.22</f>
        <v/>
      </c>
    </row>
    <row r="250">
      <c r="B250" t="inlineStr">
        <is>
          <t>08/15/2025</t>
        </is>
      </c>
      <c r="C250" t="inlineStr">
        <is>
          <t>Expense</t>
        </is>
      </c>
      <c r="D250" t="inlineStr"/>
      <c r="E250" t="inlineStr">
        <is>
          <t>Redwood Prototyping</t>
        </is>
      </c>
      <c r="F250" t="inlineStr">
        <is>
          <t>Redwood Prototyping invoice 76471</t>
        </is>
      </c>
      <c r="H250" t="inlineStr">
        <is>
          <t>6100 Contract Engineering</t>
        </is>
      </c>
      <c r="I250">
        <f>-1268.30</f>
        <v/>
      </c>
      <c r="J250">
        <f>424871.92</f>
        <v/>
      </c>
    </row>
    <row r="251">
      <c r="B251" t="inlineStr">
        <is>
          <t>08/16/2025</t>
        </is>
      </c>
      <c r="C251" t="inlineStr">
        <is>
          <t>Expense</t>
        </is>
      </c>
      <c r="D251" t="inlineStr"/>
      <c r="E251" t="inlineStr">
        <is>
          <t>Northwind Supply</t>
        </is>
      </c>
      <c r="F251" t="inlineStr">
        <is>
          <t>Northwind Supply invoice 98133</t>
        </is>
      </c>
      <c r="H251" t="inlineStr">
        <is>
          <t>5000 Cost of Goods Sold - Components</t>
        </is>
      </c>
      <c r="I251">
        <f>-577.92</f>
        <v/>
      </c>
      <c r="J251">
        <f>424294.00</f>
        <v/>
      </c>
    </row>
    <row r="252">
      <c r="B252" t="inlineStr">
        <is>
          <t>08/17/2025</t>
        </is>
      </c>
      <c r="C252" t="inlineStr">
        <is>
          <t>Expense</t>
        </is>
      </c>
      <c r="D252" t="inlineStr"/>
      <c r="E252" t="inlineStr">
        <is>
          <t>Northwind Supply</t>
        </is>
      </c>
      <c r="F252" t="inlineStr">
        <is>
          <t>Northwind Supply invoice 54761</t>
        </is>
      </c>
      <c r="H252" t="inlineStr">
        <is>
          <t>5000 Cost of Goods Sold - Components</t>
        </is>
      </c>
      <c r="I252">
        <f>-232.86</f>
        <v/>
      </c>
      <c r="J252">
        <f>424061.14</f>
        <v/>
      </c>
    </row>
    <row r="253">
      <c r="B253" t="inlineStr">
        <is>
          <t>08/18/2025</t>
        </is>
      </c>
      <c r="C253" t="inlineStr">
        <is>
          <t>Expense</t>
        </is>
      </c>
      <c r="D253" t="inlineStr"/>
      <c r="E253" t="inlineStr">
        <is>
          <t>Trey Research</t>
        </is>
      </c>
      <c r="F253" t="inlineStr">
        <is>
          <t>Trey Research monthly engagement</t>
        </is>
      </c>
      <c r="H253" t="inlineStr">
        <is>
          <t>6100 Contract Engineering</t>
        </is>
      </c>
      <c r="I253">
        <f>-2166.25</f>
        <v/>
      </c>
      <c r="J253">
        <f>421894.89</f>
        <v/>
      </c>
    </row>
    <row r="254">
      <c r="B254" t="inlineStr">
        <is>
          <t>08/18/2025</t>
        </is>
      </c>
      <c r="C254" t="inlineStr">
        <is>
          <t>Expense</t>
        </is>
      </c>
      <c r="D254" t="inlineStr"/>
      <c r="E254" t="inlineStr">
        <is>
          <t>Quartz CAD Services</t>
        </is>
      </c>
      <c r="F254" t="inlineStr">
        <is>
          <t>Quartz CAD Services invoice 58805</t>
        </is>
      </c>
      <c r="H254" t="inlineStr">
        <is>
          <t>6100 Contract Engineering</t>
        </is>
      </c>
      <c r="I254">
        <f>-247.55</f>
        <v/>
      </c>
      <c r="J254">
        <f>421647.34</f>
        <v/>
      </c>
    </row>
    <row r="255">
      <c r="B255" t="inlineStr">
        <is>
          <t>08/19/2025</t>
        </is>
      </c>
      <c r="C255" t="inlineStr">
        <is>
          <t>Expense</t>
        </is>
      </c>
      <c r="D255" t="inlineStr"/>
      <c r="E255" t="inlineStr">
        <is>
          <t>Bluepeak Engineering</t>
        </is>
      </c>
      <c r="F255" t="inlineStr">
        <is>
          <t>Bluepeak Engineering invoice 45334</t>
        </is>
      </c>
      <c r="H255" t="inlineStr">
        <is>
          <t>6100 Contract Engineering</t>
        </is>
      </c>
      <c r="I255">
        <f>-1488.02</f>
        <v/>
      </c>
      <c r="J255">
        <f>420159.32</f>
        <v/>
      </c>
    </row>
    <row r="256">
      <c r="B256" t="inlineStr">
        <is>
          <t>08/22/2025</t>
        </is>
      </c>
      <c r="C256" t="inlineStr">
        <is>
          <t>Expense</t>
        </is>
      </c>
      <c r="D256" t="inlineStr"/>
      <c r="E256" t="inlineStr">
        <is>
          <t>Fabrikam Freight</t>
        </is>
      </c>
      <c r="F256" t="inlineStr">
        <is>
          <t>Fabrikam Freight invoice 93441</t>
        </is>
      </c>
      <c r="H256" t="inlineStr">
        <is>
          <t>5100 Shipping and Freight</t>
        </is>
      </c>
      <c r="I256">
        <f>-174.74</f>
        <v/>
      </c>
      <c r="J256">
        <f>419984.58</f>
        <v/>
      </c>
    </row>
    <row r="257">
      <c r="B257" t="inlineStr">
        <is>
          <t>08/23/2025</t>
        </is>
      </c>
      <c r="C257" t="inlineStr">
        <is>
          <t>Expense</t>
        </is>
      </c>
      <c r="D257" t="inlineStr"/>
      <c r="E257" t="inlineStr">
        <is>
          <t>Northwind Supply</t>
        </is>
      </c>
      <c r="F257" t="inlineStr">
        <is>
          <t>Northwind Supply invoice 52776</t>
        </is>
      </c>
      <c r="H257" t="inlineStr">
        <is>
          <t>5000 Cost of Goods Sold - Components</t>
        </is>
      </c>
      <c r="I257">
        <f>-488.43</f>
        <v/>
      </c>
      <c r="J257">
        <f>419496.15</f>
        <v/>
      </c>
    </row>
    <row r="258">
      <c r="B258" t="inlineStr">
        <is>
          <t>08/23/2025</t>
        </is>
      </c>
      <c r="C258" t="inlineStr">
        <is>
          <t>Expense</t>
        </is>
      </c>
      <c r="D258" t="inlineStr"/>
      <c r="E258" t="inlineStr">
        <is>
          <t>Bluepeak Engineering</t>
        </is>
      </c>
      <c r="F258" t="inlineStr">
        <is>
          <t>Bluepeak Engineering invoice 53742</t>
        </is>
      </c>
      <c r="H258" t="inlineStr">
        <is>
          <t>6100 Contract Engineering</t>
        </is>
      </c>
      <c r="I258">
        <f>-1483.99</f>
        <v/>
      </c>
      <c r="J258">
        <f>418012.16</f>
        <v/>
      </c>
    </row>
    <row r="259">
      <c r="B259" t="inlineStr">
        <is>
          <t>08/25/2025</t>
        </is>
      </c>
      <c r="C259" t="inlineStr">
        <is>
          <t>Expense</t>
        </is>
      </c>
      <c r="D259" t="inlineStr"/>
      <c r="E259" t="inlineStr">
        <is>
          <t>Northwind Supply</t>
        </is>
      </c>
      <c r="F259" t="inlineStr">
        <is>
          <t>Northwind Supply invoice 49526</t>
        </is>
      </c>
      <c r="H259" t="inlineStr">
        <is>
          <t>5000 Cost of Goods Sold - Components</t>
        </is>
      </c>
      <c r="I259">
        <f>-1037.97</f>
        <v/>
      </c>
      <c r="J259">
        <f>416974.19</f>
        <v/>
      </c>
    </row>
    <row r="260">
      <c r="B260" t="inlineStr">
        <is>
          <t>08/26/2025</t>
        </is>
      </c>
      <c r="C260" t="inlineStr">
        <is>
          <t>Expense</t>
        </is>
      </c>
      <c r="D260" t="inlineStr"/>
      <c r="E260" t="inlineStr">
        <is>
          <t>Trey Research</t>
        </is>
      </c>
      <c r="F260" t="inlineStr">
        <is>
          <t>Trey Research monthly engagement</t>
        </is>
      </c>
      <c r="H260" t="inlineStr">
        <is>
          <t>6800 Professional Fees</t>
        </is>
      </c>
      <c r="I260">
        <f>-2278.70</f>
        <v/>
      </c>
      <c r="J260">
        <f>414695.49</f>
        <v/>
      </c>
    </row>
    <row r="261">
      <c r="B261" t="inlineStr">
        <is>
          <t>08/27/2025</t>
        </is>
      </c>
      <c r="C261" t="inlineStr">
        <is>
          <t>Expense</t>
        </is>
      </c>
      <c r="D261" t="inlineStr"/>
      <c r="E261" t="inlineStr">
        <is>
          <t>Redwood Prototyping</t>
        </is>
      </c>
      <c r="F261" t="inlineStr">
        <is>
          <t>Redwood Prototyping invoice 38698</t>
        </is>
      </c>
      <c r="H261" t="inlineStr">
        <is>
          <t>6100 Contract Engineering</t>
        </is>
      </c>
      <c r="I261">
        <f>-493.58</f>
        <v/>
      </c>
      <c r="J261">
        <f>414201.91</f>
        <v/>
      </c>
    </row>
    <row r="262">
      <c r="B262" t="inlineStr">
        <is>
          <t>08/31/2025</t>
        </is>
      </c>
      <c r="C262" t="inlineStr">
        <is>
          <t>Expense</t>
        </is>
      </c>
      <c r="D262" t="inlineStr"/>
      <c r="E262" t="inlineStr">
        <is>
          <t>Proseware Payroll</t>
        </is>
      </c>
      <c r="F262" t="inlineStr">
        <is>
          <t>Proseware payroll debit 2025-08-31</t>
        </is>
      </c>
      <c r="H262" t="inlineStr">
        <is>
          <t>-Split-</t>
        </is>
      </c>
      <c r="I262">
        <f>-23844.48</f>
        <v/>
      </c>
      <c r="J262">
        <f>390357.43</f>
        <v/>
      </c>
    </row>
    <row r="263">
      <c r="B263" t="inlineStr">
        <is>
          <t>08/31/2025</t>
        </is>
      </c>
      <c r="C263" t="inlineStr">
        <is>
          <t>Deposit</t>
        </is>
      </c>
      <c r="D263" t="inlineStr"/>
      <c r="E263" t="inlineStr">
        <is>
          <t>Paylane</t>
        </is>
      </c>
      <c r="F263" t="inlineStr">
        <is>
          <t>Paylane payout 2025-08 #2</t>
        </is>
      </c>
      <c r="H263" t="inlineStr">
        <is>
          <t>1200 Paylane Clearing</t>
        </is>
      </c>
      <c r="I263">
        <f>14804.93</f>
        <v/>
      </c>
      <c r="J263">
        <f>405162.36</f>
        <v/>
      </c>
    </row>
    <row r="264">
      <c r="B264" t="inlineStr">
        <is>
          <t>08/31/2025</t>
        </is>
      </c>
      <c r="C264" t="inlineStr">
        <is>
          <t>Expense</t>
        </is>
      </c>
      <c r="D264" t="inlineStr"/>
      <c r="E264" t="inlineStr">
        <is>
          <t>Northgate Bank</t>
        </is>
      </c>
      <c r="F264" t="inlineStr">
        <is>
          <t>Account analysis fee 2025-08</t>
        </is>
      </c>
      <c r="H264" t="inlineStr">
        <is>
          <t>6950 Bank and Processor Fees</t>
        </is>
      </c>
      <c r="I264">
        <f>-45.00</f>
        <v/>
      </c>
      <c r="J264">
        <f>405117.36</f>
        <v/>
      </c>
    </row>
    <row r="265">
      <c r="B265" t="inlineStr">
        <is>
          <t>09/01/2025</t>
        </is>
      </c>
      <c r="C265" t="inlineStr">
        <is>
          <t>Expense</t>
        </is>
      </c>
      <c r="D265" t="inlineStr"/>
      <c r="E265" t="inlineStr">
        <is>
          <t>Wingtip Workspace</t>
        </is>
      </c>
      <c r="F265" t="inlineStr">
        <is>
          <t>Office rent 2025-09</t>
        </is>
      </c>
      <c r="H265" t="inlineStr">
        <is>
          <t>6400 Rent</t>
        </is>
      </c>
      <c r="I265">
        <f>-6500.00</f>
        <v/>
      </c>
      <c r="J265">
        <f>398617.36</f>
        <v/>
      </c>
    </row>
    <row r="266">
      <c r="B266" t="inlineStr">
        <is>
          <t>09/02/2025</t>
        </is>
      </c>
      <c r="C266" t="inlineStr">
        <is>
          <t>Expense</t>
        </is>
      </c>
      <c r="D266" t="inlineStr"/>
      <c r="E266" t="inlineStr">
        <is>
          <t>Northwind Supply</t>
        </is>
      </c>
      <c r="F266" t="inlineStr">
        <is>
          <t>Northwind Supply invoice 45032</t>
        </is>
      </c>
      <c r="H266" t="inlineStr">
        <is>
          <t>5000 Cost of Goods Sold - Components</t>
        </is>
      </c>
      <c r="I266">
        <f>-817.43</f>
        <v/>
      </c>
      <c r="J266">
        <f>397799.93</f>
        <v/>
      </c>
    </row>
    <row r="267">
      <c r="B267" t="inlineStr">
        <is>
          <t>09/02/2025</t>
        </is>
      </c>
      <c r="C267" t="inlineStr">
        <is>
          <t>Expense</t>
        </is>
      </c>
      <c r="D267" t="inlineStr"/>
      <c r="E267" t="inlineStr">
        <is>
          <t>Litware Legal</t>
        </is>
      </c>
      <c r="F267" t="inlineStr">
        <is>
          <t>Litware Legal invoice 13708</t>
        </is>
      </c>
      <c r="H267" t="inlineStr">
        <is>
          <t>6800 Professional Fees</t>
        </is>
      </c>
      <c r="I267">
        <f>-1701.17</f>
        <v/>
      </c>
      <c r="J267">
        <f>396098.76</f>
        <v/>
      </c>
    </row>
    <row r="268">
      <c r="B268" t="inlineStr">
        <is>
          <t>09/03/2025</t>
        </is>
      </c>
      <c r="C268" t="inlineStr">
        <is>
          <t>Expense</t>
        </is>
      </c>
      <c r="D268" t="inlineStr"/>
      <c r="E268" t="inlineStr">
        <is>
          <t>Fabrikam Freight</t>
        </is>
      </c>
      <c r="F268" t="inlineStr">
        <is>
          <t>Fabrikam Freight invoice 75001</t>
        </is>
      </c>
      <c r="H268" t="inlineStr">
        <is>
          <t>5100 Shipping and Freight</t>
        </is>
      </c>
      <c r="I268">
        <f>-446.99</f>
        <v/>
      </c>
      <c r="J268">
        <f>395651.77</f>
        <v/>
      </c>
    </row>
    <row r="269">
      <c r="B269" t="inlineStr">
        <is>
          <t>09/04/2025</t>
        </is>
      </c>
      <c r="C269" t="inlineStr">
        <is>
          <t>Expense</t>
        </is>
      </c>
      <c r="D269" t="inlineStr"/>
      <c r="E269" t="inlineStr">
        <is>
          <t>Bluepeak Engineering</t>
        </is>
      </c>
      <c r="F269" t="inlineStr">
        <is>
          <t>Bluepeak Engineering invoice 23780</t>
        </is>
      </c>
      <c r="H269" t="inlineStr">
        <is>
          <t>6100 Contract Engineering</t>
        </is>
      </c>
      <c r="I269">
        <f>-1717.52</f>
        <v/>
      </c>
      <c r="J269">
        <f>393934.25</f>
        <v/>
      </c>
    </row>
    <row r="270">
      <c r="B270" t="inlineStr">
        <is>
          <t>09/05/2025</t>
        </is>
      </c>
      <c r="C270" t="inlineStr">
        <is>
          <t>Expense</t>
        </is>
      </c>
      <c r="D270" t="inlineStr"/>
      <c r="E270" t="inlineStr">
        <is>
          <t>Vantage Card</t>
        </is>
      </c>
      <c r="F270" t="inlineStr">
        <is>
          <t>Vantage card payment</t>
        </is>
      </c>
      <c r="H270" t="inlineStr">
        <is>
          <t>2100 Vantage Card 3391</t>
        </is>
      </c>
      <c r="I270">
        <f>-8983.02</f>
        <v/>
      </c>
      <c r="J270">
        <f>384951.23</f>
        <v/>
      </c>
    </row>
    <row r="271">
      <c r="B271" t="inlineStr">
        <is>
          <t>09/05/2025</t>
        </is>
      </c>
      <c r="C271" t="inlineStr">
        <is>
          <t>Transfer</t>
        </is>
      </c>
      <c r="D271" t="inlineStr"/>
      <c r="E271" t="inlineStr"/>
      <c r="F271" t="inlineStr">
        <is>
          <t>Transfer to savings</t>
        </is>
      </c>
      <c r="H271" t="inlineStr">
        <is>
          <t>1020 Northgate Savings 7809</t>
        </is>
      </c>
      <c r="I271">
        <f>-5000.00</f>
        <v/>
      </c>
      <c r="J271">
        <f>379951.23</f>
        <v/>
      </c>
    </row>
    <row r="272">
      <c r="B272" t="inlineStr">
        <is>
          <t>09/06/2025</t>
        </is>
      </c>
      <c r="C272" t="inlineStr">
        <is>
          <t>Expense</t>
        </is>
      </c>
      <c r="D272" t="inlineStr"/>
      <c r="E272" t="inlineStr">
        <is>
          <t>Quartz CAD Services</t>
        </is>
      </c>
      <c r="F272" t="inlineStr">
        <is>
          <t>Quartz CAD Services invoice 88662</t>
        </is>
      </c>
      <c r="H272" t="inlineStr">
        <is>
          <t>6100 Contract Engineering</t>
        </is>
      </c>
      <c r="I272">
        <f>-501.80</f>
        <v/>
      </c>
      <c r="J272">
        <f>379449.43</f>
        <v/>
      </c>
    </row>
    <row r="273">
      <c r="B273" t="inlineStr">
        <is>
          <t>09/06/2025</t>
        </is>
      </c>
      <c r="C273" t="inlineStr">
        <is>
          <t>Expense</t>
        </is>
      </c>
      <c r="D273" t="inlineStr"/>
      <c r="E273" t="inlineStr">
        <is>
          <t>Quartz CAD Services</t>
        </is>
      </c>
      <c r="F273" t="inlineStr">
        <is>
          <t>Quartz CAD Services invoice 44295</t>
        </is>
      </c>
      <c r="H273" t="inlineStr">
        <is>
          <t>6100 Contract Engineering</t>
        </is>
      </c>
      <c r="I273">
        <f>-405.60</f>
        <v/>
      </c>
      <c r="J273">
        <f>379043.83</f>
        <v/>
      </c>
    </row>
    <row r="274">
      <c r="B274" t="inlineStr">
        <is>
          <t>09/07/2025</t>
        </is>
      </c>
      <c r="C274" t="inlineStr">
        <is>
          <t>Expense</t>
        </is>
      </c>
      <c r="D274" t="inlineStr"/>
      <c r="E274" t="inlineStr">
        <is>
          <t>Litware Legal</t>
        </is>
      </c>
      <c r="F274" t="inlineStr">
        <is>
          <t>Litware Legal invoice 20791</t>
        </is>
      </c>
      <c r="H274" t="inlineStr">
        <is>
          <t>6800 Professional Fees</t>
        </is>
      </c>
      <c r="I274">
        <f>-974.73</f>
        <v/>
      </c>
      <c r="J274">
        <f>378069.10</f>
        <v/>
      </c>
    </row>
    <row r="275">
      <c r="B275" t="inlineStr">
        <is>
          <t>09/07/2025</t>
        </is>
      </c>
      <c r="C275" t="inlineStr">
        <is>
          <t>Expense</t>
        </is>
      </c>
      <c r="D275" t="inlineStr"/>
      <c r="E275" t="inlineStr">
        <is>
          <t>Northwind Supply</t>
        </is>
      </c>
      <c r="F275" t="inlineStr">
        <is>
          <t>Northwind Supply invoice 31230</t>
        </is>
      </c>
      <c r="H275" t="inlineStr">
        <is>
          <t>5000 Cost of Goods Sold - Components</t>
        </is>
      </c>
      <c r="I275">
        <f>-175.76</f>
        <v/>
      </c>
      <c r="J275">
        <f>377893.34</f>
        <v/>
      </c>
    </row>
    <row r="276">
      <c r="B276" t="inlineStr">
        <is>
          <t>09/07/2025</t>
        </is>
      </c>
      <c r="C276" t="inlineStr">
        <is>
          <t>Expense</t>
        </is>
      </c>
      <c r="D276" t="inlineStr"/>
      <c r="E276" t="inlineStr">
        <is>
          <t>Redwood Prototyping</t>
        </is>
      </c>
      <c r="F276" t="inlineStr">
        <is>
          <t>Redwood Prototyping invoice 18714</t>
        </is>
      </c>
      <c r="H276" t="inlineStr">
        <is>
          <t>6100 Contract Engineering</t>
        </is>
      </c>
      <c r="I276">
        <f>-970.97</f>
        <v/>
      </c>
      <c r="J276">
        <f>376922.37</f>
        <v/>
      </c>
    </row>
    <row r="277">
      <c r="B277" t="inlineStr">
        <is>
          <t>09/08/2025</t>
        </is>
      </c>
      <c r="C277" t="inlineStr">
        <is>
          <t>Expense</t>
        </is>
      </c>
      <c r="D277" t="inlineStr"/>
      <c r="E277" t="inlineStr">
        <is>
          <t>Redwood Prototyping</t>
        </is>
      </c>
      <c r="F277" t="inlineStr">
        <is>
          <t>Redwood Prototyping invoice 21978</t>
        </is>
      </c>
      <c r="H277" t="inlineStr">
        <is>
          <t>6100 Contract Engineering</t>
        </is>
      </c>
      <c r="I277">
        <f>-1259.38</f>
        <v/>
      </c>
      <c r="J277">
        <f>375662.99</f>
        <v/>
      </c>
    </row>
    <row r="278">
      <c r="B278" t="inlineStr">
        <is>
          <t>09/09/2025</t>
        </is>
      </c>
      <c r="C278" t="inlineStr">
        <is>
          <t>Expense</t>
        </is>
      </c>
      <c r="D278" t="inlineStr"/>
      <c r="E278" t="inlineStr">
        <is>
          <t>Fabrikam Freight</t>
        </is>
      </c>
      <c r="F278" t="inlineStr">
        <is>
          <t>Fabrikam Freight invoice 13825</t>
        </is>
      </c>
      <c r="H278" t="inlineStr">
        <is>
          <t>5100 Shipping and Freight</t>
        </is>
      </c>
      <c r="I278">
        <f>-611.40</f>
        <v/>
      </c>
      <c r="J278">
        <f>375051.59</f>
        <v/>
      </c>
    </row>
    <row r="279">
      <c r="B279" t="inlineStr">
        <is>
          <t>09/09/2025</t>
        </is>
      </c>
      <c r="C279" t="inlineStr">
        <is>
          <t>Expense</t>
        </is>
      </c>
      <c r="D279" t="inlineStr"/>
      <c r="E279" t="inlineStr">
        <is>
          <t>Fabrikam Freight</t>
        </is>
      </c>
      <c r="F279" t="inlineStr">
        <is>
          <t>Fabrikam Freight invoice 73321</t>
        </is>
      </c>
      <c r="H279" t="inlineStr">
        <is>
          <t>5100 Shipping and Freight</t>
        </is>
      </c>
      <c r="I279">
        <f>-499.17</f>
        <v/>
      </c>
      <c r="J279">
        <f>374552.42</f>
        <v/>
      </c>
    </row>
    <row r="280">
      <c r="B280" t="inlineStr">
        <is>
          <t>09/09/2025</t>
        </is>
      </c>
      <c r="C280" t="inlineStr">
        <is>
          <t>Expense</t>
        </is>
      </c>
      <c r="D280" t="inlineStr"/>
      <c r="E280" t="inlineStr">
        <is>
          <t>Redwood Prototyping</t>
        </is>
      </c>
      <c r="F280" t="inlineStr">
        <is>
          <t>Redwood Prototyping invoice 24763</t>
        </is>
      </c>
      <c r="H280" t="inlineStr">
        <is>
          <t>6100 Contract Engineering</t>
        </is>
      </c>
      <c r="I280">
        <f>-1350.09</f>
        <v/>
      </c>
      <c r="J280">
        <f>373202.33</f>
        <v/>
      </c>
    </row>
    <row r="281">
      <c r="B281" t="inlineStr">
        <is>
          <t>09/10/2025</t>
        </is>
      </c>
      <c r="C281" t="inlineStr">
        <is>
          <t>Payment</t>
        </is>
      </c>
      <c r="D281" t="inlineStr"/>
      <c r="E281" t="inlineStr">
        <is>
          <t>Corvus Labs Inc</t>
        </is>
      </c>
      <c r="F281" t="inlineStr">
        <is>
          <t>Payment on INV-1014</t>
        </is>
      </c>
      <c r="H281" t="inlineStr">
        <is>
          <t>1100 Accounts Receivable</t>
        </is>
      </c>
      <c r="I281">
        <f>43747.27</f>
        <v/>
      </c>
      <c r="J281">
        <f>416949.60</f>
        <v/>
      </c>
    </row>
    <row r="282">
      <c r="B282" t="inlineStr">
        <is>
          <t>09/10/2025</t>
        </is>
      </c>
      <c r="C282" t="inlineStr">
        <is>
          <t>Payment</t>
        </is>
      </c>
      <c r="D282" t="inlineStr"/>
      <c r="E282" t="inlineStr">
        <is>
          <t>Corvus Labs Inc</t>
        </is>
      </c>
      <c r="F282" t="inlineStr">
        <is>
          <t>Payment on INV-1015</t>
        </is>
      </c>
      <c r="H282" t="inlineStr">
        <is>
          <t>1100 Accounts Receivable</t>
        </is>
      </c>
      <c r="I282">
        <f>8250.00</f>
        <v/>
      </c>
      <c r="J282">
        <f>425199.60</f>
        <v/>
      </c>
    </row>
    <row r="283">
      <c r="B283" t="inlineStr">
        <is>
          <t>09/10/2025</t>
        </is>
      </c>
      <c r="C283" t="inlineStr">
        <is>
          <t>Expense</t>
        </is>
      </c>
      <c r="D283" t="inlineStr"/>
      <c r="E283" t="inlineStr">
        <is>
          <t>Northwind Supply</t>
        </is>
      </c>
      <c r="F283" t="inlineStr">
        <is>
          <t>Northwind Supply invoice 33005</t>
        </is>
      </c>
      <c r="H283" t="inlineStr">
        <is>
          <t>5000 Cost of Goods Sold - Components</t>
        </is>
      </c>
      <c r="I283">
        <f>-924.57</f>
        <v/>
      </c>
      <c r="J283">
        <f>424275.03</f>
        <v/>
      </c>
    </row>
    <row r="284">
      <c r="B284" t="inlineStr">
        <is>
          <t>09/11/2025</t>
        </is>
      </c>
      <c r="C284" t="inlineStr">
        <is>
          <t>Expense</t>
        </is>
      </c>
      <c r="D284" t="inlineStr"/>
      <c r="E284" t="inlineStr">
        <is>
          <t>Fabrikam Freight</t>
        </is>
      </c>
      <c r="F284" t="inlineStr">
        <is>
          <t>Fabrikam Freight invoice 81665</t>
        </is>
      </c>
      <c r="H284" t="inlineStr">
        <is>
          <t>5100 Shipping and Freight</t>
        </is>
      </c>
      <c r="I284">
        <f>-468.52</f>
        <v/>
      </c>
      <c r="J284">
        <f>423806.51</f>
        <v/>
      </c>
    </row>
    <row r="285">
      <c r="B285" t="inlineStr">
        <is>
          <t>09/11/2025</t>
        </is>
      </c>
      <c r="C285" t="inlineStr">
        <is>
          <t>Expense</t>
        </is>
      </c>
      <c r="D285" t="inlineStr"/>
      <c r="E285" t="inlineStr">
        <is>
          <t>Litware Legal</t>
        </is>
      </c>
      <c r="F285" t="inlineStr">
        <is>
          <t>Litware Legal invoice 15076</t>
        </is>
      </c>
      <c r="H285" t="inlineStr">
        <is>
          <t>6800 Professional Fees</t>
        </is>
      </c>
      <c r="I285">
        <f>-462.80</f>
        <v/>
      </c>
      <c r="J285">
        <f>423343.71</f>
        <v/>
      </c>
    </row>
    <row r="286">
      <c r="B286" t="inlineStr">
        <is>
          <t>09/11/2025</t>
        </is>
      </c>
      <c r="C286" t="inlineStr">
        <is>
          <t>Expense</t>
        </is>
      </c>
      <c r="D286" t="inlineStr"/>
      <c r="E286" t="inlineStr">
        <is>
          <t>Redwood Prototyping</t>
        </is>
      </c>
      <c r="F286" t="inlineStr">
        <is>
          <t>Redwood Prototyping invoice 63578</t>
        </is>
      </c>
      <c r="H286" t="inlineStr">
        <is>
          <t>6100 Contract Engineering</t>
        </is>
      </c>
      <c r="I286">
        <f>-1141.10</f>
        <v/>
      </c>
      <c r="J286">
        <f>422202.61</f>
        <v/>
      </c>
    </row>
    <row r="287">
      <c r="B287" t="inlineStr">
        <is>
          <t>09/11/2025</t>
        </is>
      </c>
      <c r="C287" t="inlineStr">
        <is>
          <t>Expense</t>
        </is>
      </c>
      <c r="D287" t="inlineStr"/>
      <c r="E287" t="inlineStr">
        <is>
          <t>Quartz CAD Services</t>
        </is>
      </c>
      <c r="F287" t="inlineStr">
        <is>
          <t>Quartz CAD Services invoice 13005</t>
        </is>
      </c>
      <c r="H287" t="inlineStr">
        <is>
          <t>6100 Contract Engineering</t>
        </is>
      </c>
      <c r="I287">
        <f>-728.91</f>
        <v/>
      </c>
      <c r="J287">
        <f>421473.70</f>
        <v/>
      </c>
    </row>
    <row r="288">
      <c r="B288" t="inlineStr">
        <is>
          <t>09/12/2025</t>
        </is>
      </c>
      <c r="C288" t="inlineStr">
        <is>
          <t>Bill Payment</t>
        </is>
      </c>
      <c r="D288" t="inlineStr"/>
      <c r="E288" t="inlineStr">
        <is>
          <t>Northwind Supply</t>
        </is>
      </c>
      <c r="F288" t="inlineStr">
        <is>
          <t>Payment on NWS-4407</t>
        </is>
      </c>
      <c r="H288" t="inlineStr">
        <is>
          <t>2010 Accounts Payable</t>
        </is>
      </c>
      <c r="I288">
        <f>-13791.23</f>
        <v/>
      </c>
      <c r="J288">
        <f>407682.47</f>
        <v/>
      </c>
    </row>
    <row r="289">
      <c r="B289" t="inlineStr">
        <is>
          <t>09/12/2025</t>
        </is>
      </c>
      <c r="C289" t="inlineStr">
        <is>
          <t>Expense</t>
        </is>
      </c>
      <c r="D289" t="inlineStr"/>
      <c r="E289" t="inlineStr">
        <is>
          <t>Redwood Prototyping</t>
        </is>
      </c>
      <c r="F289" t="inlineStr">
        <is>
          <t>Redwood Prototyping invoice 18469</t>
        </is>
      </c>
      <c r="H289" t="inlineStr">
        <is>
          <t>6100 Contract Engineering</t>
        </is>
      </c>
      <c r="I289">
        <f>-604.86</f>
        <v/>
      </c>
      <c r="J289">
        <f>407077.61</f>
        <v/>
      </c>
    </row>
    <row r="290">
      <c r="B290" t="inlineStr">
        <is>
          <t>09/14/2025</t>
        </is>
      </c>
      <c r="C290" t="inlineStr">
        <is>
          <t>Expense</t>
        </is>
      </c>
      <c r="D290" t="inlineStr"/>
      <c r="E290" t="inlineStr">
        <is>
          <t>Litware Legal</t>
        </is>
      </c>
      <c r="F290" t="inlineStr">
        <is>
          <t>Litware Legal invoice 59115</t>
        </is>
      </c>
      <c r="H290" t="inlineStr">
        <is>
          <t>6800 Professional Fees</t>
        </is>
      </c>
      <c r="I290">
        <f>-1064.74</f>
        <v/>
      </c>
      <c r="J290">
        <f>406012.87</f>
        <v/>
      </c>
    </row>
    <row r="291">
      <c r="B291" t="inlineStr">
        <is>
          <t>09/15/2025</t>
        </is>
      </c>
      <c r="C291" t="inlineStr">
        <is>
          <t>Expense</t>
        </is>
      </c>
      <c r="D291" t="inlineStr"/>
      <c r="E291" t="inlineStr">
        <is>
          <t>Proseware Payroll</t>
        </is>
      </c>
      <c r="F291" t="inlineStr">
        <is>
          <t>Proseware payroll debit 2025-09-15</t>
        </is>
      </c>
      <c r="H291" t="inlineStr">
        <is>
          <t>-Split-</t>
        </is>
      </c>
      <c r="I291">
        <f>-24328.90</f>
        <v/>
      </c>
      <c r="J291">
        <f>381683.97</f>
        <v/>
      </c>
    </row>
    <row r="292">
      <c r="B292" t="inlineStr">
        <is>
          <t>09/15/2025</t>
        </is>
      </c>
      <c r="C292" t="inlineStr">
        <is>
          <t>Deposit</t>
        </is>
      </c>
      <c r="D292" t="inlineStr"/>
      <c r="E292" t="inlineStr">
        <is>
          <t>Paylane</t>
        </is>
      </c>
      <c r="F292" t="inlineStr">
        <is>
          <t>Paylane payout 2025-09 #1</t>
        </is>
      </c>
      <c r="H292" t="inlineStr">
        <is>
          <t>1200 Paylane Clearing</t>
        </is>
      </c>
      <c r="I292">
        <f>19606.62</f>
        <v/>
      </c>
      <c r="J292">
        <f>401290.59</f>
        <v/>
      </c>
    </row>
    <row r="293">
      <c r="B293" t="inlineStr">
        <is>
          <t>09/15/2025</t>
        </is>
      </c>
      <c r="C293" t="inlineStr">
        <is>
          <t>Expense</t>
        </is>
      </c>
      <c r="D293" t="inlineStr"/>
      <c r="E293" t="inlineStr">
        <is>
          <t>Bluepeak Engineering</t>
        </is>
      </c>
      <c r="F293" t="inlineStr">
        <is>
          <t>Bluepeak Engineering invoice 73587</t>
        </is>
      </c>
      <c r="H293" t="inlineStr">
        <is>
          <t>6100 Contract Engineering</t>
        </is>
      </c>
      <c r="I293">
        <f>-1358.77</f>
        <v/>
      </c>
      <c r="J293">
        <f>399931.82</f>
        <v/>
      </c>
    </row>
    <row r="294">
      <c r="B294" t="inlineStr">
        <is>
          <t>09/15/2025</t>
        </is>
      </c>
      <c r="C294" t="inlineStr">
        <is>
          <t>Expense</t>
        </is>
      </c>
      <c r="D294" t="inlineStr"/>
      <c r="E294" t="inlineStr">
        <is>
          <t>Fabrikam Freight</t>
        </is>
      </c>
      <c r="F294" t="inlineStr">
        <is>
          <t>Fabrikam Freight invoice 93631</t>
        </is>
      </c>
      <c r="H294" t="inlineStr">
        <is>
          <t>5100 Shipping and Freight</t>
        </is>
      </c>
      <c r="I294">
        <f>-527.94</f>
        <v/>
      </c>
      <c r="J294">
        <f>399403.88</f>
        <v/>
      </c>
    </row>
    <row r="295">
      <c r="B295" t="inlineStr">
        <is>
          <t>09/15/2025</t>
        </is>
      </c>
      <c r="C295" t="inlineStr">
        <is>
          <t>Expense</t>
        </is>
      </c>
      <c r="D295" t="inlineStr"/>
      <c r="E295" t="inlineStr">
        <is>
          <t>Northwind Supply</t>
        </is>
      </c>
      <c r="F295" t="inlineStr">
        <is>
          <t>Northwind Supply invoice 37556</t>
        </is>
      </c>
      <c r="H295" t="inlineStr">
        <is>
          <t>5000 Cost of Goods Sold - Components</t>
        </is>
      </c>
      <c r="I295">
        <f>-1141.10</f>
        <v/>
      </c>
      <c r="J295">
        <f>398262.78</f>
        <v/>
      </c>
    </row>
    <row r="296">
      <c r="B296" t="inlineStr">
        <is>
          <t>09/16/2025</t>
        </is>
      </c>
      <c r="C296" t="inlineStr">
        <is>
          <t>Expense</t>
        </is>
      </c>
      <c r="D296" t="inlineStr"/>
      <c r="E296" t="inlineStr">
        <is>
          <t>Fabrikam Freight</t>
        </is>
      </c>
      <c r="F296" t="inlineStr">
        <is>
          <t>Fabrikam Freight invoice 71962</t>
        </is>
      </c>
      <c r="H296" t="inlineStr">
        <is>
          <t>5100 Shipping and Freight</t>
        </is>
      </c>
      <c r="I296">
        <f>-620.91</f>
        <v/>
      </c>
      <c r="J296">
        <f>397641.87</f>
        <v/>
      </c>
    </row>
    <row r="297">
      <c r="B297" t="inlineStr">
        <is>
          <t>09/16/2025</t>
        </is>
      </c>
      <c r="C297" t="inlineStr">
        <is>
          <t>Expense</t>
        </is>
      </c>
      <c r="D297" t="inlineStr"/>
      <c r="E297" t="inlineStr">
        <is>
          <t>Redwood Prototyping</t>
        </is>
      </c>
      <c r="F297" t="inlineStr">
        <is>
          <t>Redwood Prototyping invoice 26458</t>
        </is>
      </c>
      <c r="H297" t="inlineStr">
        <is>
          <t>6100 Contract Engineering</t>
        </is>
      </c>
      <c r="I297">
        <f>-613.65</f>
        <v/>
      </c>
      <c r="J297">
        <f>397028.22</f>
        <v/>
      </c>
    </row>
    <row r="298">
      <c r="B298" t="inlineStr">
        <is>
          <t>09/17/2025</t>
        </is>
      </c>
      <c r="C298" t="inlineStr">
        <is>
          <t>Expense</t>
        </is>
      </c>
      <c r="D298" t="inlineStr"/>
      <c r="E298" t="inlineStr">
        <is>
          <t>Northwind Supply</t>
        </is>
      </c>
      <c r="F298" t="inlineStr">
        <is>
          <t>Northwind Supply invoice 49494</t>
        </is>
      </c>
      <c r="H298" t="inlineStr">
        <is>
          <t>5000 Cost of Goods Sold - Components</t>
        </is>
      </c>
      <c r="I298">
        <f>-311.88</f>
        <v/>
      </c>
      <c r="J298">
        <f>396716.34</f>
        <v/>
      </c>
    </row>
    <row r="299">
      <c r="B299" t="inlineStr">
        <is>
          <t>09/17/2025</t>
        </is>
      </c>
      <c r="C299" t="inlineStr">
        <is>
          <t>Expense</t>
        </is>
      </c>
      <c r="D299" t="inlineStr"/>
      <c r="E299" t="inlineStr">
        <is>
          <t>Northwind Supply</t>
        </is>
      </c>
      <c r="F299" t="inlineStr">
        <is>
          <t>Northwind Supply invoice 12433</t>
        </is>
      </c>
      <c r="H299" t="inlineStr">
        <is>
          <t>5000 Cost of Goods Sold - Components</t>
        </is>
      </c>
      <c r="I299">
        <f>-505.46</f>
        <v/>
      </c>
      <c r="J299">
        <f>396210.88</f>
        <v/>
      </c>
    </row>
    <row r="300">
      <c r="B300" t="inlineStr">
        <is>
          <t>09/17/2025</t>
        </is>
      </c>
      <c r="C300" t="inlineStr">
        <is>
          <t>Expense</t>
        </is>
      </c>
      <c r="D300" t="inlineStr"/>
      <c r="E300" t="inlineStr">
        <is>
          <t>Fabrikam Freight</t>
        </is>
      </c>
      <c r="F300" t="inlineStr">
        <is>
          <t>Fabrikam Freight invoice 64066</t>
        </is>
      </c>
      <c r="H300" t="inlineStr">
        <is>
          <t>5100 Shipping and Freight</t>
        </is>
      </c>
      <c r="I300">
        <f>-509.74</f>
        <v/>
      </c>
      <c r="J300">
        <f>395701.14</f>
        <v/>
      </c>
    </row>
    <row r="301">
      <c r="B301" t="inlineStr">
        <is>
          <t>09/18/2025</t>
        </is>
      </c>
      <c r="C301" t="inlineStr">
        <is>
          <t>Expense</t>
        </is>
      </c>
      <c r="D301" t="inlineStr"/>
      <c r="E301" t="inlineStr">
        <is>
          <t>Trey Research</t>
        </is>
      </c>
      <c r="F301" t="inlineStr">
        <is>
          <t>Trey Research monthly engagement</t>
        </is>
      </c>
      <c r="H301" t="inlineStr">
        <is>
          <t>6600 Marketing and Advertising</t>
        </is>
      </c>
      <c r="I301">
        <f>-2095.45</f>
        <v/>
      </c>
      <c r="J301">
        <f>393605.69</f>
        <v/>
      </c>
    </row>
    <row r="302">
      <c r="B302" t="inlineStr">
        <is>
          <t>09/18/2025</t>
        </is>
      </c>
      <c r="C302" t="inlineStr">
        <is>
          <t>Expense</t>
        </is>
      </c>
      <c r="D302" t="inlineStr"/>
      <c r="E302" t="inlineStr">
        <is>
          <t>Quartz CAD Services</t>
        </is>
      </c>
      <c r="F302" t="inlineStr">
        <is>
          <t>Quartz CAD Services invoice 38641</t>
        </is>
      </c>
      <c r="H302" t="inlineStr">
        <is>
          <t>6100 Contract Engineering</t>
        </is>
      </c>
      <c r="I302">
        <f>-608.55</f>
        <v/>
      </c>
      <c r="J302">
        <f>392997.14</f>
        <v/>
      </c>
    </row>
    <row r="303">
      <c r="B303" t="inlineStr">
        <is>
          <t>09/19/2025</t>
        </is>
      </c>
      <c r="C303" t="inlineStr">
        <is>
          <t>Expense</t>
        </is>
      </c>
      <c r="D303" t="inlineStr"/>
      <c r="E303" t="inlineStr">
        <is>
          <t>Northgate Bank</t>
        </is>
      </c>
      <c r="F303" t="inlineStr">
        <is>
          <t>Returned item adjustment</t>
        </is>
      </c>
      <c r="H303" t="inlineStr">
        <is>
          <t>6950 Bank and Processor Fees</t>
        </is>
      </c>
      <c r="I303">
        <f>-312.44</f>
        <v/>
      </c>
      <c r="J303">
        <f>392684.70</f>
        <v/>
      </c>
    </row>
    <row r="304">
      <c r="B304" t="inlineStr">
        <is>
          <t>09/20/2025</t>
        </is>
      </c>
      <c r="C304" t="inlineStr">
        <is>
          <t>Expense</t>
        </is>
      </c>
      <c r="D304" t="inlineStr"/>
      <c r="E304" t="inlineStr">
        <is>
          <t>Redwood Prototyping</t>
        </is>
      </c>
      <c r="F304" t="inlineStr">
        <is>
          <t>Redwood Prototyping invoice 58358</t>
        </is>
      </c>
      <c r="H304" t="inlineStr">
        <is>
          <t>6100 Contract Engineering</t>
        </is>
      </c>
      <c r="I304">
        <f>-1093.87</f>
        <v/>
      </c>
      <c r="J304">
        <f>391590.83</f>
        <v/>
      </c>
    </row>
    <row r="305">
      <c r="B305" t="inlineStr">
        <is>
          <t>09/20/2025</t>
        </is>
      </c>
      <c r="C305" t="inlineStr">
        <is>
          <t>Expense</t>
        </is>
      </c>
      <c r="D305" t="inlineStr"/>
      <c r="E305" t="inlineStr">
        <is>
          <t>Redwood Prototyping</t>
        </is>
      </c>
      <c r="F305" t="inlineStr">
        <is>
          <t>Redwood Prototyping invoice 55434</t>
        </is>
      </c>
      <c r="H305" t="inlineStr">
        <is>
          <t>6100 Contract Engineering</t>
        </is>
      </c>
      <c r="I305">
        <f>-1145.70</f>
        <v/>
      </c>
      <c r="J305">
        <f>390445.13</f>
        <v/>
      </c>
    </row>
    <row r="306">
      <c r="B306" t="inlineStr">
        <is>
          <t>09/24/2025</t>
        </is>
      </c>
      <c r="C306" t="inlineStr">
        <is>
          <t>Expense</t>
        </is>
      </c>
      <c r="D306" t="inlineStr"/>
      <c r="E306" t="inlineStr">
        <is>
          <t>Fabrikam Freight</t>
        </is>
      </c>
      <c r="F306" t="inlineStr">
        <is>
          <t>Fabrikam Freight invoice 93489</t>
        </is>
      </c>
      <c r="H306" t="inlineStr">
        <is>
          <t>5100 Shipping and Freight</t>
        </is>
      </c>
      <c r="I306">
        <f>-457.12</f>
        <v/>
      </c>
      <c r="J306">
        <f>389988.01</f>
        <v/>
      </c>
    </row>
    <row r="307">
      <c r="B307" t="inlineStr">
        <is>
          <t>09/24/2025</t>
        </is>
      </c>
      <c r="C307" t="inlineStr">
        <is>
          <t>Expense</t>
        </is>
      </c>
      <c r="D307" t="inlineStr"/>
      <c r="E307" t="inlineStr">
        <is>
          <t>Litware Legal</t>
        </is>
      </c>
      <c r="F307" t="inlineStr">
        <is>
          <t>Litware Legal invoice 31324</t>
        </is>
      </c>
      <c r="H307" t="inlineStr">
        <is>
          <t>6800 Professional Fees</t>
        </is>
      </c>
      <c r="I307">
        <f>-2330.08</f>
        <v/>
      </c>
      <c r="J307">
        <f>387657.93</f>
        <v/>
      </c>
    </row>
    <row r="308">
      <c r="B308" t="inlineStr">
        <is>
          <t>09/24/2025</t>
        </is>
      </c>
      <c r="C308" t="inlineStr">
        <is>
          <t>Expense</t>
        </is>
      </c>
      <c r="D308" t="inlineStr"/>
      <c r="E308" t="inlineStr">
        <is>
          <t>Northwind Supply</t>
        </is>
      </c>
      <c r="F308" t="inlineStr">
        <is>
          <t>Northwind Supply invoice 57723</t>
        </is>
      </c>
      <c r="H308" t="inlineStr">
        <is>
          <t>5000 Cost of Goods Sold - Components</t>
        </is>
      </c>
      <c r="I308">
        <f>-1061.72</f>
        <v/>
      </c>
      <c r="J308">
        <f>386596.21</f>
        <v/>
      </c>
    </row>
    <row r="309">
      <c r="B309" t="inlineStr">
        <is>
          <t>09/25/2025</t>
        </is>
      </c>
      <c r="C309" t="inlineStr">
        <is>
          <t>Expense</t>
        </is>
      </c>
      <c r="D309" t="inlineStr"/>
      <c r="E309" t="inlineStr">
        <is>
          <t>Quartz CAD Services</t>
        </is>
      </c>
      <c r="F309" t="inlineStr">
        <is>
          <t>Quartz CAD Services invoice 90682</t>
        </is>
      </c>
      <c r="H309" t="inlineStr">
        <is>
          <t>6100 Contract Engineering</t>
        </is>
      </c>
      <c r="I309">
        <f>-308.34</f>
        <v/>
      </c>
      <c r="J309">
        <f>386287.87</f>
        <v/>
      </c>
    </row>
    <row r="310">
      <c r="B310" t="inlineStr">
        <is>
          <t>09/26/2025</t>
        </is>
      </c>
      <c r="C310" t="inlineStr">
        <is>
          <t>Expense</t>
        </is>
      </c>
      <c r="D310" t="inlineStr"/>
      <c r="E310" t="inlineStr">
        <is>
          <t>Redwood Prototyping</t>
        </is>
      </c>
      <c r="F310" t="inlineStr">
        <is>
          <t>Redwood Prototyping invoice 85075</t>
        </is>
      </c>
      <c r="H310" t="inlineStr">
        <is>
          <t>6100 Contract Engineering</t>
        </is>
      </c>
      <c r="I310">
        <f>-1324.37</f>
        <v/>
      </c>
      <c r="J310">
        <f>384963.50</f>
        <v/>
      </c>
    </row>
    <row r="311">
      <c r="B311" t="inlineStr">
        <is>
          <t>09/27/2025</t>
        </is>
      </c>
      <c r="C311" t="inlineStr">
        <is>
          <t>Expense</t>
        </is>
      </c>
      <c r="D311" t="inlineStr"/>
      <c r="E311" t="inlineStr">
        <is>
          <t>Quartz CAD Services</t>
        </is>
      </c>
      <c r="F311" t="inlineStr">
        <is>
          <t>Quartz CAD Services invoice 16790</t>
        </is>
      </c>
      <c r="H311" t="inlineStr">
        <is>
          <t>6100 Contract Engineering</t>
        </is>
      </c>
      <c r="I311">
        <f>-687.56</f>
        <v/>
      </c>
      <c r="J311">
        <f>384275.94</f>
        <v/>
      </c>
    </row>
    <row r="312">
      <c r="B312" t="inlineStr">
        <is>
          <t>09/30/2025</t>
        </is>
      </c>
      <c r="C312" t="inlineStr">
        <is>
          <t>Expense</t>
        </is>
      </c>
      <c r="D312" t="inlineStr"/>
      <c r="E312" t="inlineStr">
        <is>
          <t>Proseware Payroll</t>
        </is>
      </c>
      <c r="F312" t="inlineStr">
        <is>
          <t>Proseware payroll debit 2025-09-30</t>
        </is>
      </c>
      <c r="H312" t="inlineStr">
        <is>
          <t>-Split-</t>
        </is>
      </c>
      <c r="I312">
        <f>-24328.90</f>
        <v/>
      </c>
      <c r="J312">
        <f>359947.04</f>
        <v/>
      </c>
    </row>
    <row r="313">
      <c r="B313" t="inlineStr">
        <is>
          <t>09/30/2025</t>
        </is>
      </c>
      <c r="C313" t="inlineStr">
        <is>
          <t>Deposit</t>
        </is>
      </c>
      <c r="D313" t="inlineStr"/>
      <c r="E313" t="inlineStr">
        <is>
          <t>Paylane</t>
        </is>
      </c>
      <c r="F313" t="inlineStr">
        <is>
          <t>Paylane payout 2025-09 #2</t>
        </is>
      </c>
      <c r="H313" t="inlineStr">
        <is>
          <t>1200 Paylane Clearing</t>
        </is>
      </c>
      <c r="I313">
        <f>16041.78</f>
        <v/>
      </c>
      <c r="J313">
        <f>375988.82</f>
        <v/>
      </c>
    </row>
    <row r="314">
      <c r="B314" t="inlineStr">
        <is>
          <t>09/30/2025</t>
        </is>
      </c>
      <c r="C314" t="inlineStr">
        <is>
          <t>Expense</t>
        </is>
      </c>
      <c r="D314" t="inlineStr"/>
      <c r="E314" t="inlineStr">
        <is>
          <t>Northgate Bank</t>
        </is>
      </c>
      <c r="F314" t="inlineStr">
        <is>
          <t>Account analysis fee 2025-09</t>
        </is>
      </c>
      <c r="H314" t="inlineStr">
        <is>
          <t>6950 Bank and Processor Fees</t>
        </is>
      </c>
      <c r="I314">
        <f>-45.00</f>
        <v/>
      </c>
      <c r="J314">
        <f>375943.82</f>
        <v/>
      </c>
    </row>
    <row r="315">
      <c r="B315" t="inlineStr">
        <is>
          <t>10/15/2025</t>
        </is>
      </c>
      <c r="C315" t="inlineStr">
        <is>
          <t>Journal Entry</t>
        </is>
      </c>
      <c r="D315" t="inlineStr">
        <is>
          <t>JE-1037</t>
        </is>
      </c>
      <c r="E315" t="inlineStr">
        <is>
          <t>Proseware Payroll</t>
        </is>
      </c>
      <c r="F315" t="inlineStr">
        <is>
          <t>Proseware payroll debit 2025-10-15</t>
        </is>
      </c>
      <c r="H315" t="inlineStr">
        <is>
          <t>-Split-</t>
        </is>
      </c>
      <c r="I315">
        <f>-24813.32</f>
        <v/>
      </c>
      <c r="J315">
        <f>351130.50</f>
        <v/>
      </c>
    </row>
    <row r="316">
      <c r="B316" t="inlineStr">
        <is>
          <t>10/15/2025</t>
        </is>
      </c>
      <c r="C316" t="inlineStr">
        <is>
          <t>Journal Entry</t>
        </is>
      </c>
      <c r="D316" t="inlineStr">
        <is>
          <t>JE-1039</t>
        </is>
      </c>
      <c r="E316" t="inlineStr">
        <is>
          <t>Paylane</t>
        </is>
      </c>
      <c r="F316" t="inlineStr">
        <is>
          <t>Paylane payout 2025-10 #1</t>
        </is>
      </c>
      <c r="H316" t="inlineStr">
        <is>
          <t>1200 Paylane Clearing</t>
        </is>
      </c>
      <c r="I316">
        <f>19951.27</f>
        <v/>
      </c>
      <c r="J316">
        <f>371081.77</f>
        <v/>
      </c>
    </row>
    <row r="317">
      <c r="B317" t="inlineStr">
        <is>
          <t>10/31/2025</t>
        </is>
      </c>
      <c r="C317" t="inlineStr">
        <is>
          <t>Journal Entry</t>
        </is>
      </c>
      <c r="D317" t="inlineStr">
        <is>
          <t>JE-1038</t>
        </is>
      </c>
      <c r="E317" t="inlineStr">
        <is>
          <t>Proseware Payroll</t>
        </is>
      </c>
      <c r="F317" t="inlineStr">
        <is>
          <t>Proseware payroll debit 2025-10-31</t>
        </is>
      </c>
      <c r="H317" t="inlineStr">
        <is>
          <t>-Split-</t>
        </is>
      </c>
      <c r="I317">
        <f>-24813.32</f>
        <v/>
      </c>
      <c r="J317">
        <f>346268.45</f>
        <v/>
      </c>
    </row>
    <row r="318">
      <c r="B318" t="inlineStr">
        <is>
          <t>10/31/2025</t>
        </is>
      </c>
      <c r="C318" t="inlineStr">
        <is>
          <t>Journal Entry</t>
        </is>
      </c>
      <c r="D318" t="inlineStr">
        <is>
          <t>JE-1040</t>
        </is>
      </c>
      <c r="E318" t="inlineStr">
        <is>
          <t>Paylane</t>
        </is>
      </c>
      <c r="F318" t="inlineStr">
        <is>
          <t>Paylane payout 2025-10 #2</t>
        </is>
      </c>
      <c r="H318" t="inlineStr">
        <is>
          <t>1200 Paylane Clearing</t>
        </is>
      </c>
      <c r="I318">
        <f>16323.76</f>
        <v/>
      </c>
      <c r="J318">
        <f>362592.21</f>
        <v/>
      </c>
    </row>
    <row r="319">
      <c r="B319" t="inlineStr">
        <is>
          <t>11/15/2025</t>
        </is>
      </c>
      <c r="C319" t="inlineStr">
        <is>
          <t>Journal Entry</t>
        </is>
      </c>
      <c r="D319" t="inlineStr">
        <is>
          <t>JE-1042</t>
        </is>
      </c>
      <c r="E319" t="inlineStr">
        <is>
          <t>Proseware Payroll</t>
        </is>
      </c>
      <c r="F319" t="inlineStr">
        <is>
          <t>Proseware payroll debit 2025-11-15</t>
        </is>
      </c>
      <c r="H319" t="inlineStr">
        <is>
          <t>-Split-</t>
        </is>
      </c>
      <c r="I319">
        <f>-25297.75</f>
        <v/>
      </c>
      <c r="J319">
        <f>337294.46</f>
        <v/>
      </c>
    </row>
    <row r="320">
      <c r="B320" t="inlineStr">
        <is>
          <t>11/15/2025</t>
        </is>
      </c>
      <c r="C320" t="inlineStr">
        <is>
          <t>Journal Entry</t>
        </is>
      </c>
      <c r="D320" t="inlineStr">
        <is>
          <t>JE-1044</t>
        </is>
      </c>
      <c r="E320" t="inlineStr">
        <is>
          <t>Paylane</t>
        </is>
      </c>
      <c r="F320" t="inlineStr">
        <is>
          <t>Paylane payout 2025-11 #1</t>
        </is>
      </c>
      <c r="H320" t="inlineStr">
        <is>
          <t>1200 Paylane Clearing</t>
        </is>
      </c>
      <c r="I320">
        <f>20726.47</f>
        <v/>
      </c>
      <c r="J320">
        <f>358020.93</f>
        <v/>
      </c>
    </row>
    <row r="321">
      <c r="B321" t="inlineStr">
        <is>
          <t>11/30/2025</t>
        </is>
      </c>
      <c r="C321" t="inlineStr">
        <is>
          <t>Journal Entry</t>
        </is>
      </c>
      <c r="D321" t="inlineStr">
        <is>
          <t>JE-1043</t>
        </is>
      </c>
      <c r="E321" t="inlineStr">
        <is>
          <t>Proseware Payroll</t>
        </is>
      </c>
      <c r="F321" t="inlineStr">
        <is>
          <t>Proseware payroll debit 2025-11-30</t>
        </is>
      </c>
      <c r="H321" t="inlineStr">
        <is>
          <t>-Split-</t>
        </is>
      </c>
      <c r="I321">
        <f>-25297.75</f>
        <v/>
      </c>
      <c r="J321">
        <f>332723.18</f>
        <v/>
      </c>
    </row>
    <row r="322">
      <c r="B322" t="inlineStr">
        <is>
          <t>11/30/2025</t>
        </is>
      </c>
      <c r="C322" t="inlineStr">
        <is>
          <t>Journal Entry</t>
        </is>
      </c>
      <c r="D322" t="inlineStr">
        <is>
          <t>JE-1045</t>
        </is>
      </c>
      <c r="E322" t="inlineStr">
        <is>
          <t>Paylane</t>
        </is>
      </c>
      <c r="F322" t="inlineStr">
        <is>
          <t>Paylane payout 2025-11 #2</t>
        </is>
      </c>
      <c r="H322" t="inlineStr">
        <is>
          <t>1200 Paylane Clearing</t>
        </is>
      </c>
      <c r="I322">
        <f>16958.02</f>
        <v/>
      </c>
      <c r="J322">
        <f>349681.20</f>
        <v/>
      </c>
    </row>
    <row r="323">
      <c r="B323" t="inlineStr">
        <is>
          <t>12/15/2025</t>
        </is>
      </c>
      <c r="C323" t="inlineStr">
        <is>
          <t>Journal Entry</t>
        </is>
      </c>
      <c r="D323" t="inlineStr">
        <is>
          <t>JE-1047</t>
        </is>
      </c>
      <c r="E323" t="inlineStr">
        <is>
          <t>Proseware Payroll</t>
        </is>
      </c>
      <c r="F323" t="inlineStr">
        <is>
          <t>Proseware payroll debit 2025-12-15</t>
        </is>
      </c>
      <c r="H323" t="inlineStr">
        <is>
          <t>-Split-</t>
        </is>
      </c>
      <c r="I323">
        <f>-25782.18</f>
        <v/>
      </c>
      <c r="J323">
        <f>323899.02</f>
        <v/>
      </c>
    </row>
    <row r="324">
      <c r="B324" t="inlineStr">
        <is>
          <t>12/15/2025</t>
        </is>
      </c>
      <c r="C324" t="inlineStr">
        <is>
          <t>Journal Entry</t>
        </is>
      </c>
      <c r="D324" t="inlineStr">
        <is>
          <t>JE-1049</t>
        </is>
      </c>
      <c r="E324" t="inlineStr">
        <is>
          <t>Paylane</t>
        </is>
      </c>
      <c r="F324" t="inlineStr">
        <is>
          <t>Paylane payout 2025-12 #1</t>
        </is>
      </c>
      <c r="H324" t="inlineStr">
        <is>
          <t>1200 Paylane Clearing</t>
        </is>
      </c>
      <c r="I324">
        <f>21808.40</f>
        <v/>
      </c>
      <c r="J324">
        <f>345707.42</f>
        <v/>
      </c>
    </row>
    <row r="325">
      <c r="B325" t="inlineStr">
        <is>
          <t>12/31/2025</t>
        </is>
      </c>
      <c r="C325" t="inlineStr">
        <is>
          <t>Journal Entry</t>
        </is>
      </c>
      <c r="D325" t="inlineStr">
        <is>
          <t>JE-1048</t>
        </is>
      </c>
      <c r="E325" t="inlineStr">
        <is>
          <t>Proseware Payroll</t>
        </is>
      </c>
      <c r="F325" t="inlineStr">
        <is>
          <t>Proseware payroll debit 2025-12-31</t>
        </is>
      </c>
      <c r="H325" t="inlineStr">
        <is>
          <t>-Split-</t>
        </is>
      </c>
      <c r="I325">
        <f>-25782.18</f>
        <v/>
      </c>
      <c r="J325">
        <f>319925.24</f>
        <v/>
      </c>
    </row>
    <row r="326">
      <c r="B326" t="inlineStr">
        <is>
          <t>12/31/2025</t>
        </is>
      </c>
      <c r="C326" t="inlineStr">
        <is>
          <t>Journal Entry</t>
        </is>
      </c>
      <c r="D326" t="inlineStr">
        <is>
          <t>JE-1050</t>
        </is>
      </c>
      <c r="E326" t="inlineStr">
        <is>
          <t>Paylane</t>
        </is>
      </c>
      <c r="F326" t="inlineStr">
        <is>
          <t>Paylane payout 2025-12 #2</t>
        </is>
      </c>
      <c r="H326" t="inlineStr">
        <is>
          <t>1200 Paylane Clearing</t>
        </is>
      </c>
      <c r="I326">
        <f>17843.23</f>
        <v/>
      </c>
      <c r="J326">
        <f>337768.47</f>
        <v/>
      </c>
    </row>
    <row r="327">
      <c r="A327" t="inlineStr">
        <is>
          <t>Total for 1010 Northgate Checking 7742</t>
        </is>
      </c>
      <c r="I327">
        <f>337768.47</f>
        <v/>
      </c>
    </row>
    <row r="328"/>
    <row r="329">
      <c r="A329" t="inlineStr">
        <is>
          <t>1020 Northgate Savings 7809</t>
        </is>
      </c>
    </row>
    <row r="330">
      <c r="G330" t="inlineStr">
        <is>
          <t>Beginning Balance</t>
        </is>
      </c>
      <c r="J330">
        <f>0.00</f>
        <v/>
      </c>
    </row>
    <row r="331">
      <c r="B331" t="inlineStr">
        <is>
          <t>01/05/2025</t>
        </is>
      </c>
      <c r="C331" t="inlineStr">
        <is>
          <t>Transfer</t>
        </is>
      </c>
      <c r="D331" t="inlineStr"/>
      <c r="E331" t="inlineStr"/>
      <c r="F331" t="inlineStr">
        <is>
          <t>Transfer to savings</t>
        </is>
      </c>
      <c r="H331" t="inlineStr">
        <is>
          <t>1010 Northgate Checking 7742</t>
        </is>
      </c>
      <c r="I331">
        <f>5000.00</f>
        <v/>
      </c>
      <c r="J331">
        <f>5000.00</f>
        <v/>
      </c>
    </row>
    <row r="332">
      <c r="B332" t="inlineStr">
        <is>
          <t>01/31/2025</t>
        </is>
      </c>
      <c r="C332" t="inlineStr">
        <is>
          <t>Deposit</t>
        </is>
      </c>
      <c r="D332" t="inlineStr"/>
      <c r="E332" t="inlineStr">
        <is>
          <t>Northgate Bank</t>
        </is>
      </c>
      <c r="F332" t="inlineStr">
        <is>
          <t>Savings interest 2025-01</t>
        </is>
      </c>
      <c r="H332" t="inlineStr">
        <is>
          <t>4900 Interest Income</t>
        </is>
      </c>
      <c r="I332">
        <f>2.00</f>
        <v/>
      </c>
      <c r="J332">
        <f>5002.00</f>
        <v/>
      </c>
    </row>
    <row r="333">
      <c r="B333" t="inlineStr">
        <is>
          <t>02/05/2025</t>
        </is>
      </c>
      <c r="C333" t="inlineStr">
        <is>
          <t>Transfer</t>
        </is>
      </c>
      <c r="D333" t="inlineStr"/>
      <c r="E333" t="inlineStr"/>
      <c r="F333" t="inlineStr">
        <is>
          <t>Transfer to savings</t>
        </is>
      </c>
      <c r="H333" t="inlineStr">
        <is>
          <t>1010 Northgate Checking 7742</t>
        </is>
      </c>
      <c r="I333">
        <f>5000.00</f>
        <v/>
      </c>
      <c r="J333">
        <f>10002.00</f>
        <v/>
      </c>
    </row>
    <row r="334">
      <c r="B334" t="inlineStr">
        <is>
          <t>02/28/2025</t>
        </is>
      </c>
      <c r="C334" t="inlineStr">
        <is>
          <t>Deposit</t>
        </is>
      </c>
      <c r="D334" t="inlineStr"/>
      <c r="E334" t="inlineStr">
        <is>
          <t>Northgate Bank</t>
        </is>
      </c>
      <c r="F334" t="inlineStr">
        <is>
          <t>Savings interest 2025-02</t>
        </is>
      </c>
      <c r="H334" t="inlineStr">
        <is>
          <t>4900 Interest Income</t>
        </is>
      </c>
      <c r="I334">
        <f>4.00</f>
        <v/>
      </c>
      <c r="J334">
        <f>10006.00</f>
        <v/>
      </c>
    </row>
    <row r="335">
      <c r="B335" t="inlineStr">
        <is>
          <t>03/05/2025</t>
        </is>
      </c>
      <c r="C335" t="inlineStr">
        <is>
          <t>Transfer</t>
        </is>
      </c>
      <c r="D335" t="inlineStr"/>
      <c r="E335" t="inlineStr"/>
      <c r="F335" t="inlineStr">
        <is>
          <t>Transfer to savings</t>
        </is>
      </c>
      <c r="H335" t="inlineStr">
        <is>
          <t>1010 Northgate Checking 7742</t>
        </is>
      </c>
      <c r="I335">
        <f>5000.00</f>
        <v/>
      </c>
      <c r="J335">
        <f>15006.00</f>
        <v/>
      </c>
    </row>
    <row r="336">
      <c r="B336" t="inlineStr">
        <is>
          <t>03/31/2025</t>
        </is>
      </c>
      <c r="C336" t="inlineStr">
        <is>
          <t>Deposit</t>
        </is>
      </c>
      <c r="D336" t="inlineStr"/>
      <c r="E336" t="inlineStr">
        <is>
          <t>Northgate Bank</t>
        </is>
      </c>
      <c r="F336" t="inlineStr">
        <is>
          <t>Savings interest 2025-03</t>
        </is>
      </c>
      <c r="H336" t="inlineStr">
        <is>
          <t>4900 Interest Income</t>
        </is>
      </c>
      <c r="I336">
        <f>6.00</f>
        <v/>
      </c>
      <c r="J336">
        <f>15012.00</f>
        <v/>
      </c>
    </row>
    <row r="337">
      <c r="B337" t="inlineStr">
        <is>
          <t>04/05/2025</t>
        </is>
      </c>
      <c r="C337" t="inlineStr">
        <is>
          <t>Transfer</t>
        </is>
      </c>
      <c r="D337" t="inlineStr"/>
      <c r="E337" t="inlineStr"/>
      <c r="F337" t="inlineStr">
        <is>
          <t>Transfer to savings</t>
        </is>
      </c>
      <c r="H337" t="inlineStr">
        <is>
          <t>1010 Northgate Checking 7742</t>
        </is>
      </c>
      <c r="I337">
        <f>5000.00</f>
        <v/>
      </c>
      <c r="J337">
        <f>20012.00</f>
        <v/>
      </c>
    </row>
    <row r="338">
      <c r="B338" t="inlineStr">
        <is>
          <t>04/30/2025</t>
        </is>
      </c>
      <c r="C338" t="inlineStr">
        <is>
          <t>Deposit</t>
        </is>
      </c>
      <c r="D338" t="inlineStr"/>
      <c r="E338" t="inlineStr">
        <is>
          <t>Northgate Bank</t>
        </is>
      </c>
      <c r="F338" t="inlineStr">
        <is>
          <t>Savings interest 2025-04</t>
        </is>
      </c>
      <c r="H338" t="inlineStr">
        <is>
          <t>4900 Interest Income</t>
        </is>
      </c>
      <c r="I338">
        <f>8.00</f>
        <v/>
      </c>
      <c r="J338">
        <f>20020.00</f>
        <v/>
      </c>
    </row>
    <row r="339">
      <c r="B339" t="inlineStr">
        <is>
          <t>05/05/2025</t>
        </is>
      </c>
      <c r="C339" t="inlineStr">
        <is>
          <t>Transfer</t>
        </is>
      </c>
      <c r="D339" t="inlineStr"/>
      <c r="E339" t="inlineStr"/>
      <c r="F339" t="inlineStr">
        <is>
          <t>Transfer to savings</t>
        </is>
      </c>
      <c r="H339" t="inlineStr">
        <is>
          <t>1010 Northgate Checking 7742</t>
        </is>
      </c>
      <c r="I339">
        <f>5000.00</f>
        <v/>
      </c>
      <c r="J339">
        <f>25020.00</f>
        <v/>
      </c>
    </row>
    <row r="340">
      <c r="B340" t="inlineStr">
        <is>
          <t>05/31/2025</t>
        </is>
      </c>
      <c r="C340" t="inlineStr">
        <is>
          <t>Deposit</t>
        </is>
      </c>
      <c r="D340" t="inlineStr"/>
      <c r="E340" t="inlineStr">
        <is>
          <t>Northgate Bank</t>
        </is>
      </c>
      <c r="F340" t="inlineStr">
        <is>
          <t>Savings interest 2025-05</t>
        </is>
      </c>
      <c r="H340" t="inlineStr">
        <is>
          <t>4900 Interest Income</t>
        </is>
      </c>
      <c r="I340">
        <f>10.01</f>
        <v/>
      </c>
      <c r="J340">
        <f>25030.01</f>
        <v/>
      </c>
    </row>
    <row r="341">
      <c r="B341" t="inlineStr">
        <is>
          <t>06/05/2025</t>
        </is>
      </c>
      <c r="C341" t="inlineStr">
        <is>
          <t>Transfer</t>
        </is>
      </c>
      <c r="D341" t="inlineStr"/>
      <c r="E341" t="inlineStr"/>
      <c r="F341" t="inlineStr">
        <is>
          <t>Transfer to savings</t>
        </is>
      </c>
      <c r="H341" t="inlineStr">
        <is>
          <t>1010 Northgate Checking 7742</t>
        </is>
      </c>
      <c r="I341">
        <f>5000.00</f>
        <v/>
      </c>
      <c r="J341">
        <f>30030.01</f>
        <v/>
      </c>
    </row>
    <row r="342">
      <c r="B342" t="inlineStr">
        <is>
          <t>06/30/2025</t>
        </is>
      </c>
      <c r="C342" t="inlineStr">
        <is>
          <t>Deposit</t>
        </is>
      </c>
      <c r="D342" t="inlineStr"/>
      <c r="E342" t="inlineStr">
        <is>
          <t>Northgate Bank</t>
        </is>
      </c>
      <c r="F342" t="inlineStr">
        <is>
          <t>Savings interest 2025-06</t>
        </is>
      </c>
      <c r="H342" t="inlineStr">
        <is>
          <t>4900 Interest Income</t>
        </is>
      </c>
      <c r="I342">
        <f>12.01</f>
        <v/>
      </c>
      <c r="J342">
        <f>30042.02</f>
        <v/>
      </c>
    </row>
    <row r="343">
      <c r="B343" t="inlineStr">
        <is>
          <t>07/05/2025</t>
        </is>
      </c>
      <c r="C343" t="inlineStr">
        <is>
          <t>Transfer</t>
        </is>
      </c>
      <c r="D343" t="inlineStr"/>
      <c r="E343" t="inlineStr"/>
      <c r="F343" t="inlineStr">
        <is>
          <t>Transfer to savings</t>
        </is>
      </c>
      <c r="H343" t="inlineStr">
        <is>
          <t>1010 Northgate Checking 7742</t>
        </is>
      </c>
      <c r="I343">
        <f>5000.00</f>
        <v/>
      </c>
      <c r="J343">
        <f>35042.02</f>
        <v/>
      </c>
    </row>
    <row r="344">
      <c r="B344" t="inlineStr">
        <is>
          <t>07/31/2025</t>
        </is>
      </c>
      <c r="C344" t="inlineStr">
        <is>
          <t>Deposit</t>
        </is>
      </c>
      <c r="D344" t="inlineStr"/>
      <c r="E344" t="inlineStr">
        <is>
          <t>Northgate Bank</t>
        </is>
      </c>
      <c r="F344" t="inlineStr">
        <is>
          <t>Savings interest 2025-07</t>
        </is>
      </c>
      <c r="H344" t="inlineStr">
        <is>
          <t>4900 Interest Income</t>
        </is>
      </c>
      <c r="I344">
        <f>14.02</f>
        <v/>
      </c>
      <c r="J344">
        <f>35056.04</f>
        <v/>
      </c>
    </row>
    <row r="345">
      <c r="B345" t="inlineStr">
        <is>
          <t>08/05/2025</t>
        </is>
      </c>
      <c r="C345" t="inlineStr">
        <is>
          <t>Transfer</t>
        </is>
      </c>
      <c r="D345" t="inlineStr"/>
      <c r="E345" t="inlineStr"/>
      <c r="F345" t="inlineStr">
        <is>
          <t>Transfer to savings</t>
        </is>
      </c>
      <c r="H345" t="inlineStr">
        <is>
          <t>1010 Northgate Checking 7742</t>
        </is>
      </c>
      <c r="I345">
        <f>5000.00</f>
        <v/>
      </c>
      <c r="J345">
        <f>40056.04</f>
        <v/>
      </c>
    </row>
    <row r="346">
      <c r="B346" t="inlineStr">
        <is>
          <t>08/31/2025</t>
        </is>
      </c>
      <c r="C346" t="inlineStr">
        <is>
          <t>Deposit</t>
        </is>
      </c>
      <c r="D346" t="inlineStr"/>
      <c r="E346" t="inlineStr">
        <is>
          <t>Northgate Bank</t>
        </is>
      </c>
      <c r="F346" t="inlineStr">
        <is>
          <t>Savings interest 2025-08</t>
        </is>
      </c>
      <c r="H346" t="inlineStr">
        <is>
          <t>4900 Interest Income</t>
        </is>
      </c>
      <c r="I346">
        <f>16.02</f>
        <v/>
      </c>
      <c r="J346">
        <f>40072.06</f>
        <v/>
      </c>
    </row>
    <row r="347">
      <c r="B347" t="inlineStr">
        <is>
          <t>09/05/2025</t>
        </is>
      </c>
      <c r="C347" t="inlineStr">
        <is>
          <t>Transfer</t>
        </is>
      </c>
      <c r="D347" t="inlineStr"/>
      <c r="E347" t="inlineStr"/>
      <c r="F347" t="inlineStr">
        <is>
          <t>Transfer to savings</t>
        </is>
      </c>
      <c r="H347" t="inlineStr">
        <is>
          <t>1010 Northgate Checking 7742</t>
        </is>
      </c>
      <c r="I347">
        <f>5000.00</f>
        <v/>
      </c>
      <c r="J347">
        <f>45072.06</f>
        <v/>
      </c>
    </row>
    <row r="348">
      <c r="B348" t="inlineStr">
        <is>
          <t>09/30/2025</t>
        </is>
      </c>
      <c r="C348" t="inlineStr">
        <is>
          <t>Deposit</t>
        </is>
      </c>
      <c r="D348" t="inlineStr"/>
      <c r="E348" t="inlineStr">
        <is>
          <t>Northgate Bank</t>
        </is>
      </c>
      <c r="F348" t="inlineStr">
        <is>
          <t>Savings interest 2025-09</t>
        </is>
      </c>
      <c r="H348" t="inlineStr">
        <is>
          <t>4900 Interest Income</t>
        </is>
      </c>
      <c r="I348">
        <f>18.03</f>
        <v/>
      </c>
      <c r="J348">
        <f>45090.09</f>
        <v/>
      </c>
    </row>
    <row r="349">
      <c r="A349" t="inlineStr">
        <is>
          <t>Total for 1020 Northgate Savings 7809</t>
        </is>
      </c>
      <c r="I349">
        <f>45090.09</f>
        <v/>
      </c>
    </row>
    <row r="350"/>
    <row r="351">
      <c r="A351" t="inlineStr">
        <is>
          <t>1100 Accounts Receivable</t>
        </is>
      </c>
    </row>
    <row r="352">
      <c r="G352" t="inlineStr">
        <is>
          <t>Beginning Balance</t>
        </is>
      </c>
      <c r="J352">
        <f>0.00</f>
        <v/>
      </c>
    </row>
    <row r="353">
      <c r="B353" t="inlineStr">
        <is>
          <t>01/10/2025</t>
        </is>
      </c>
      <c r="C353" t="inlineStr">
        <is>
          <t>Invoice</t>
        </is>
      </c>
      <c r="D353" t="inlineStr">
        <is>
          <t>INV-1000</t>
        </is>
      </c>
      <c r="E353" t="inlineStr">
        <is>
          <t>Volt Dynamics Inc</t>
        </is>
      </c>
      <c r="F353" t="inlineStr">
        <is>
          <t>INV-1000 robot cell</t>
        </is>
      </c>
      <c r="H353" t="inlineStr">
        <is>
          <t>4000 Product Revenue</t>
        </is>
      </c>
      <c r="I353">
        <f>29266.31</f>
        <v/>
      </c>
      <c r="J353">
        <f>29266.31</f>
        <v/>
      </c>
    </row>
    <row r="354">
      <c r="B354" t="inlineStr">
        <is>
          <t>01/10/2025</t>
        </is>
      </c>
      <c r="C354" t="inlineStr">
        <is>
          <t>Invoice</t>
        </is>
      </c>
      <c r="D354" t="inlineStr">
        <is>
          <t>INV-1001</t>
        </is>
      </c>
      <c r="E354" t="inlineStr">
        <is>
          <t>Volt Dynamics Inc</t>
        </is>
      </c>
      <c r="F354" t="inlineStr">
        <is>
          <t>INV-1001 support plan</t>
        </is>
      </c>
      <c r="H354" t="inlineStr">
        <is>
          <t>4100 Service Revenue</t>
        </is>
      </c>
      <c r="I354">
        <f>6500.00</f>
        <v/>
      </c>
      <c r="J354">
        <f>35766.31</f>
        <v/>
      </c>
    </row>
    <row r="355">
      <c r="B355" t="inlineStr">
        <is>
          <t>02/10/2025</t>
        </is>
      </c>
      <c r="C355" t="inlineStr">
        <is>
          <t>Invoice</t>
        </is>
      </c>
      <c r="D355" t="inlineStr">
        <is>
          <t>INV-1002</t>
        </is>
      </c>
      <c r="E355" t="inlineStr">
        <is>
          <t>Helios Manufacturing LLC</t>
        </is>
      </c>
      <c r="F355" t="inlineStr">
        <is>
          <t>INV-1002 robot cell</t>
        </is>
      </c>
      <c r="H355" t="inlineStr">
        <is>
          <t>4000 Product Revenue</t>
        </is>
      </c>
      <c r="I355">
        <f>30738.17</f>
        <v/>
      </c>
      <c r="J355">
        <f>66504.48</f>
        <v/>
      </c>
    </row>
    <row r="356">
      <c r="B356" t="inlineStr">
        <is>
          <t>02/10/2025</t>
        </is>
      </c>
      <c r="C356" t="inlineStr">
        <is>
          <t>Invoice</t>
        </is>
      </c>
      <c r="D356" t="inlineStr">
        <is>
          <t>INV-1003</t>
        </is>
      </c>
      <c r="E356" t="inlineStr">
        <is>
          <t>Helios Manufacturing LLC</t>
        </is>
      </c>
      <c r="F356" t="inlineStr">
        <is>
          <t>INV-1003 support plan</t>
        </is>
      </c>
      <c r="H356" t="inlineStr">
        <is>
          <t>4100 Service Revenue</t>
        </is>
      </c>
      <c r="I356">
        <f>6750.00</f>
        <v/>
      </c>
      <c r="J356">
        <f>73254.48</f>
        <v/>
      </c>
    </row>
    <row r="357">
      <c r="B357" t="inlineStr">
        <is>
          <t>02/10/2025</t>
        </is>
      </c>
      <c r="C357" t="inlineStr">
        <is>
          <t>Payment</t>
        </is>
      </c>
      <c r="D357" t="inlineStr"/>
      <c r="E357" t="inlineStr">
        <is>
          <t>Volt Dynamics Inc</t>
        </is>
      </c>
      <c r="F357" t="inlineStr">
        <is>
          <t>Payment on INV-1000</t>
        </is>
      </c>
      <c r="H357" t="inlineStr">
        <is>
          <t>1010 Northgate Checking 7742</t>
        </is>
      </c>
      <c r="I357">
        <f>-29266.31</f>
        <v/>
      </c>
      <c r="J357">
        <f>43988.17</f>
        <v/>
      </c>
    </row>
    <row r="358">
      <c r="B358" t="inlineStr">
        <is>
          <t>02/10/2025</t>
        </is>
      </c>
      <c r="C358" t="inlineStr">
        <is>
          <t>Payment</t>
        </is>
      </c>
      <c r="D358" t="inlineStr"/>
      <c r="E358" t="inlineStr">
        <is>
          <t>Volt Dynamics Inc</t>
        </is>
      </c>
      <c r="F358" t="inlineStr">
        <is>
          <t>Payment on INV-1001</t>
        </is>
      </c>
      <c r="H358" t="inlineStr">
        <is>
          <t>1010 Northgate Checking 7742</t>
        </is>
      </c>
      <c r="I358">
        <f>-6500.00</f>
        <v/>
      </c>
      <c r="J358">
        <f>37488.17</f>
        <v/>
      </c>
    </row>
    <row r="359">
      <c r="B359" t="inlineStr">
        <is>
          <t>03/10/2025</t>
        </is>
      </c>
      <c r="C359" t="inlineStr">
        <is>
          <t>Invoice</t>
        </is>
      </c>
      <c r="D359" t="inlineStr">
        <is>
          <t>INV-1004</t>
        </is>
      </c>
      <c r="E359" t="inlineStr">
        <is>
          <t>Meridian Automation Co</t>
        </is>
      </c>
      <c r="F359" t="inlineStr">
        <is>
          <t>INV-1004 robot cell</t>
        </is>
      </c>
      <c r="H359" t="inlineStr">
        <is>
          <t>4000 Product Revenue</t>
        </is>
      </c>
      <c r="I359">
        <f>34853.19</f>
        <v/>
      </c>
      <c r="J359">
        <f>72341.36</f>
        <v/>
      </c>
    </row>
    <row r="360">
      <c r="B360" t="inlineStr">
        <is>
          <t>03/10/2025</t>
        </is>
      </c>
      <c r="C360" t="inlineStr">
        <is>
          <t>Invoice</t>
        </is>
      </c>
      <c r="D360" t="inlineStr">
        <is>
          <t>INV-1005</t>
        </is>
      </c>
      <c r="E360" t="inlineStr">
        <is>
          <t>Meridian Automation Co</t>
        </is>
      </c>
      <c r="F360" t="inlineStr">
        <is>
          <t>INV-1005 support plan</t>
        </is>
      </c>
      <c r="H360" t="inlineStr">
        <is>
          <t>4100 Service Revenue</t>
        </is>
      </c>
      <c r="I360">
        <f>7000.00</f>
        <v/>
      </c>
      <c r="J360">
        <f>79341.36</f>
        <v/>
      </c>
    </row>
    <row r="361">
      <c r="B361" t="inlineStr">
        <is>
          <t>03/10/2025</t>
        </is>
      </c>
      <c r="C361" t="inlineStr">
        <is>
          <t>Payment</t>
        </is>
      </c>
      <c r="D361" t="inlineStr"/>
      <c r="E361" t="inlineStr">
        <is>
          <t>Helios Manufacturing LLC</t>
        </is>
      </c>
      <c r="F361" t="inlineStr">
        <is>
          <t>Payment on INV-1002</t>
        </is>
      </c>
      <c r="H361" t="inlineStr">
        <is>
          <t>1010 Northgate Checking 7742</t>
        </is>
      </c>
      <c r="I361">
        <f>-30738.17</f>
        <v/>
      </c>
      <c r="J361">
        <f>48603.19</f>
        <v/>
      </c>
    </row>
    <row r="362">
      <c r="B362" t="inlineStr">
        <is>
          <t>03/10/2025</t>
        </is>
      </c>
      <c r="C362" t="inlineStr">
        <is>
          <t>Payment</t>
        </is>
      </c>
      <c r="D362" t="inlineStr"/>
      <c r="E362" t="inlineStr">
        <is>
          <t>Helios Manufacturing LLC</t>
        </is>
      </c>
      <c r="F362" t="inlineStr">
        <is>
          <t>Payment on INV-1003</t>
        </is>
      </c>
      <c r="H362" t="inlineStr">
        <is>
          <t>1010 Northgate Checking 7742</t>
        </is>
      </c>
      <c r="I362">
        <f>-6750.00</f>
        <v/>
      </c>
      <c r="J362">
        <f>41853.19</f>
        <v/>
      </c>
    </row>
    <row r="363">
      <c r="B363" t="inlineStr">
        <is>
          <t>04/10/2025</t>
        </is>
      </c>
      <c r="C363" t="inlineStr">
        <is>
          <t>Invoice</t>
        </is>
      </c>
      <c r="D363" t="inlineStr">
        <is>
          <t>INV-1006</t>
        </is>
      </c>
      <c r="E363" t="inlineStr">
        <is>
          <t>Corvus Labs Inc</t>
        </is>
      </c>
      <c r="F363" t="inlineStr">
        <is>
          <t>INV-1006 robot cell</t>
        </is>
      </c>
      <c r="H363" t="inlineStr">
        <is>
          <t>4000 Product Revenue</t>
        </is>
      </c>
      <c r="I363">
        <f>37063.32</f>
        <v/>
      </c>
      <c r="J363">
        <f>78916.51</f>
        <v/>
      </c>
    </row>
    <row r="364">
      <c r="B364" t="inlineStr">
        <is>
          <t>04/10/2025</t>
        </is>
      </c>
      <c r="C364" t="inlineStr">
        <is>
          <t>Invoice</t>
        </is>
      </c>
      <c r="D364" t="inlineStr">
        <is>
          <t>INV-1007</t>
        </is>
      </c>
      <c r="E364" t="inlineStr">
        <is>
          <t>Corvus Labs Inc</t>
        </is>
      </c>
      <c r="F364" t="inlineStr">
        <is>
          <t>INV-1007 support plan</t>
        </is>
      </c>
      <c r="H364" t="inlineStr">
        <is>
          <t>4100 Service Revenue</t>
        </is>
      </c>
      <c r="I364">
        <f>7250.00</f>
        <v/>
      </c>
      <c r="J364">
        <f>86166.51</f>
        <v/>
      </c>
    </row>
    <row r="365">
      <c r="B365" t="inlineStr">
        <is>
          <t>04/10/2025</t>
        </is>
      </c>
      <c r="C365" t="inlineStr">
        <is>
          <t>Payment</t>
        </is>
      </c>
      <c r="D365" t="inlineStr"/>
      <c r="E365" t="inlineStr">
        <is>
          <t>Meridian Automation Co</t>
        </is>
      </c>
      <c r="F365" t="inlineStr">
        <is>
          <t>Payment on INV-1004</t>
        </is>
      </c>
      <c r="H365" t="inlineStr">
        <is>
          <t>1010 Northgate Checking 7742</t>
        </is>
      </c>
      <c r="I365">
        <f>-34853.19</f>
        <v/>
      </c>
      <c r="J365">
        <f>51313.32</f>
        <v/>
      </c>
    </row>
    <row r="366">
      <c r="B366" t="inlineStr">
        <is>
          <t>04/10/2025</t>
        </is>
      </c>
      <c r="C366" t="inlineStr">
        <is>
          <t>Payment</t>
        </is>
      </c>
      <c r="D366" t="inlineStr"/>
      <c r="E366" t="inlineStr">
        <is>
          <t>Meridian Automation Co</t>
        </is>
      </c>
      <c r="F366" t="inlineStr">
        <is>
          <t>Payment on INV-1005</t>
        </is>
      </c>
      <c r="H366" t="inlineStr">
        <is>
          <t>1010 Northgate Checking 7742</t>
        </is>
      </c>
      <c r="I366">
        <f>-7000.00</f>
        <v/>
      </c>
      <c r="J366">
        <f>44313.32</f>
        <v/>
      </c>
    </row>
    <row r="367">
      <c r="B367" t="inlineStr">
        <is>
          <t>05/10/2025</t>
        </is>
      </c>
      <c r="C367" t="inlineStr">
        <is>
          <t>Invoice</t>
        </is>
      </c>
      <c r="D367" t="inlineStr">
        <is>
          <t>INV-1008</t>
        </is>
      </c>
      <c r="E367" t="inlineStr">
        <is>
          <t>Volt Dynamics Inc</t>
        </is>
      </c>
      <c r="F367" t="inlineStr">
        <is>
          <t>INV-1008 robot cell</t>
        </is>
      </c>
      <c r="H367" t="inlineStr">
        <is>
          <t>4000 Product Revenue</t>
        </is>
      </c>
      <c r="I367">
        <f>37846.45</f>
        <v/>
      </c>
      <c r="J367">
        <f>82159.77</f>
        <v/>
      </c>
    </row>
    <row r="368">
      <c r="B368" t="inlineStr">
        <is>
          <t>05/10/2025</t>
        </is>
      </c>
      <c r="C368" t="inlineStr">
        <is>
          <t>Invoice</t>
        </is>
      </c>
      <c r="D368" t="inlineStr">
        <is>
          <t>INV-1009</t>
        </is>
      </c>
      <c r="E368" t="inlineStr">
        <is>
          <t>Volt Dynamics Inc</t>
        </is>
      </c>
      <c r="F368" t="inlineStr">
        <is>
          <t>INV-1009 support plan</t>
        </is>
      </c>
      <c r="H368" t="inlineStr">
        <is>
          <t>4100 Service Revenue</t>
        </is>
      </c>
      <c r="I368">
        <f>7500.00</f>
        <v/>
      </c>
      <c r="J368">
        <f>89659.77</f>
        <v/>
      </c>
    </row>
    <row r="369">
      <c r="B369" t="inlineStr">
        <is>
          <t>05/10/2025</t>
        </is>
      </c>
      <c r="C369" t="inlineStr">
        <is>
          <t>Payment</t>
        </is>
      </c>
      <c r="D369" t="inlineStr"/>
      <c r="E369" t="inlineStr">
        <is>
          <t>Corvus Labs Inc</t>
        </is>
      </c>
      <c r="F369" t="inlineStr">
        <is>
          <t>Payment on INV-1006</t>
        </is>
      </c>
      <c r="H369" t="inlineStr">
        <is>
          <t>1010 Northgate Checking 7742</t>
        </is>
      </c>
      <c r="I369">
        <f>-37063.32</f>
        <v/>
      </c>
      <c r="J369">
        <f>52596.45</f>
        <v/>
      </c>
    </row>
    <row r="370">
      <c r="B370" t="inlineStr">
        <is>
          <t>05/10/2025</t>
        </is>
      </c>
      <c r="C370" t="inlineStr">
        <is>
          <t>Payment</t>
        </is>
      </c>
      <c r="D370" t="inlineStr"/>
      <c r="E370" t="inlineStr">
        <is>
          <t>Corvus Labs Inc</t>
        </is>
      </c>
      <c r="F370" t="inlineStr">
        <is>
          <t>Payment on INV-1007</t>
        </is>
      </c>
      <c r="H370" t="inlineStr">
        <is>
          <t>1010 Northgate Checking 7742</t>
        </is>
      </c>
      <c r="I370">
        <f>-7250.00</f>
        <v/>
      </c>
      <c r="J370">
        <f>45346.45</f>
        <v/>
      </c>
    </row>
    <row r="371">
      <c r="B371" t="inlineStr">
        <is>
          <t>06/10/2025</t>
        </is>
      </c>
      <c r="C371" t="inlineStr">
        <is>
          <t>Invoice</t>
        </is>
      </c>
      <c r="D371" t="inlineStr">
        <is>
          <t>INV-1010</t>
        </is>
      </c>
      <c r="E371" t="inlineStr">
        <is>
          <t>Helios Manufacturing LLC</t>
        </is>
      </c>
      <c r="F371" t="inlineStr">
        <is>
          <t>INV-1010 robot cell</t>
        </is>
      </c>
      <c r="H371" t="inlineStr">
        <is>
          <t>4000 Product Revenue</t>
        </is>
      </c>
      <c r="I371">
        <f>40356.02</f>
        <v/>
      </c>
      <c r="J371">
        <f>85702.47</f>
        <v/>
      </c>
    </row>
    <row r="372">
      <c r="B372" t="inlineStr">
        <is>
          <t>06/10/2025</t>
        </is>
      </c>
      <c r="C372" t="inlineStr">
        <is>
          <t>Invoice</t>
        </is>
      </c>
      <c r="D372" t="inlineStr">
        <is>
          <t>INV-1011</t>
        </is>
      </c>
      <c r="E372" t="inlineStr">
        <is>
          <t>Helios Manufacturing LLC</t>
        </is>
      </c>
      <c r="F372" t="inlineStr">
        <is>
          <t>INV-1011 support plan</t>
        </is>
      </c>
      <c r="H372" t="inlineStr">
        <is>
          <t>4100 Service Revenue</t>
        </is>
      </c>
      <c r="I372">
        <f>7750.00</f>
        <v/>
      </c>
      <c r="J372">
        <f>93452.47</f>
        <v/>
      </c>
    </row>
    <row r="373">
      <c r="B373" t="inlineStr">
        <is>
          <t>06/10/2025</t>
        </is>
      </c>
      <c r="C373" t="inlineStr">
        <is>
          <t>Payment</t>
        </is>
      </c>
      <c r="D373" t="inlineStr"/>
      <c r="E373" t="inlineStr">
        <is>
          <t>Volt Dynamics Inc</t>
        </is>
      </c>
      <c r="F373" t="inlineStr">
        <is>
          <t>Payment on INV-1008</t>
        </is>
      </c>
      <c r="H373" t="inlineStr">
        <is>
          <t>1010 Northgate Checking 7742</t>
        </is>
      </c>
      <c r="I373">
        <f>-37846.45</f>
        <v/>
      </c>
      <c r="J373">
        <f>55606.02</f>
        <v/>
      </c>
    </row>
    <row r="374">
      <c r="B374" t="inlineStr">
        <is>
          <t>06/10/2025</t>
        </is>
      </c>
      <c r="C374" t="inlineStr">
        <is>
          <t>Payment</t>
        </is>
      </c>
      <c r="D374" t="inlineStr"/>
      <c r="E374" t="inlineStr">
        <is>
          <t>Volt Dynamics Inc</t>
        </is>
      </c>
      <c r="F374" t="inlineStr">
        <is>
          <t>Payment on INV-1009</t>
        </is>
      </c>
      <c r="H374" t="inlineStr">
        <is>
          <t>1010 Northgate Checking 7742</t>
        </is>
      </c>
      <c r="I374">
        <f>-7500.00</f>
        <v/>
      </c>
      <c r="J374">
        <f>48106.02</f>
        <v/>
      </c>
    </row>
    <row r="375">
      <c r="B375" t="inlineStr">
        <is>
          <t>07/10/2025</t>
        </is>
      </c>
      <c r="C375" t="inlineStr">
        <is>
          <t>Invoice</t>
        </is>
      </c>
      <c r="D375" t="inlineStr">
        <is>
          <t>INV-1012</t>
        </is>
      </c>
      <c r="E375" t="inlineStr">
        <is>
          <t>Meridian Automation Co</t>
        </is>
      </c>
      <c r="F375" t="inlineStr">
        <is>
          <t>INV-1012 robot cell</t>
        </is>
      </c>
      <c r="H375" t="inlineStr">
        <is>
          <t>4000 Product Revenue</t>
        </is>
      </c>
      <c r="I375">
        <f>41415.68</f>
        <v/>
      </c>
      <c r="J375">
        <f>89521.70</f>
        <v/>
      </c>
    </row>
    <row r="376">
      <c r="B376" t="inlineStr">
        <is>
          <t>07/10/2025</t>
        </is>
      </c>
      <c r="C376" t="inlineStr">
        <is>
          <t>Invoice</t>
        </is>
      </c>
      <c r="D376" t="inlineStr">
        <is>
          <t>INV-1013</t>
        </is>
      </c>
      <c r="E376" t="inlineStr">
        <is>
          <t>Meridian Automation Co</t>
        </is>
      </c>
      <c r="F376" t="inlineStr">
        <is>
          <t>INV-1013 support plan</t>
        </is>
      </c>
      <c r="H376" t="inlineStr">
        <is>
          <t>4100 Service Revenue</t>
        </is>
      </c>
      <c r="I376">
        <f>8000.00</f>
        <v/>
      </c>
      <c r="J376">
        <f>97521.70</f>
        <v/>
      </c>
    </row>
    <row r="377">
      <c r="B377" t="inlineStr">
        <is>
          <t>07/10/2025</t>
        </is>
      </c>
      <c r="C377" t="inlineStr">
        <is>
          <t>Payment</t>
        </is>
      </c>
      <c r="D377" t="inlineStr"/>
      <c r="E377" t="inlineStr">
        <is>
          <t>Helios Manufacturing LLC</t>
        </is>
      </c>
      <c r="F377" t="inlineStr">
        <is>
          <t>Payment on INV-1010</t>
        </is>
      </c>
      <c r="H377" t="inlineStr">
        <is>
          <t>1010 Northgate Checking 7742</t>
        </is>
      </c>
      <c r="I377">
        <f>-40356.02</f>
        <v/>
      </c>
      <c r="J377">
        <f>57165.68</f>
        <v/>
      </c>
    </row>
    <row r="378">
      <c r="B378" t="inlineStr">
        <is>
          <t>07/10/2025</t>
        </is>
      </c>
      <c r="C378" t="inlineStr">
        <is>
          <t>Payment</t>
        </is>
      </c>
      <c r="D378" t="inlineStr"/>
      <c r="E378" t="inlineStr">
        <is>
          <t>Helios Manufacturing LLC</t>
        </is>
      </c>
      <c r="F378" t="inlineStr">
        <is>
          <t>Payment on INV-1011</t>
        </is>
      </c>
      <c r="H378" t="inlineStr">
        <is>
          <t>1010 Northgate Checking 7742</t>
        </is>
      </c>
      <c r="I378">
        <f>-7750.00</f>
        <v/>
      </c>
      <c r="J378">
        <f>49415.68</f>
        <v/>
      </c>
    </row>
    <row r="379">
      <c r="B379" t="inlineStr">
        <is>
          <t>08/10/2025</t>
        </is>
      </c>
      <c r="C379" t="inlineStr">
        <is>
          <t>Invoice</t>
        </is>
      </c>
      <c r="D379" t="inlineStr">
        <is>
          <t>INV-1014</t>
        </is>
      </c>
      <c r="E379" t="inlineStr">
        <is>
          <t>Corvus Labs Inc</t>
        </is>
      </c>
      <c r="F379" t="inlineStr">
        <is>
          <t>INV-1014 robot cell</t>
        </is>
      </c>
      <c r="H379" t="inlineStr">
        <is>
          <t>4000 Product Revenue</t>
        </is>
      </c>
      <c r="I379">
        <f>43747.27</f>
        <v/>
      </c>
      <c r="J379">
        <f>93162.95</f>
        <v/>
      </c>
    </row>
    <row r="380">
      <c r="B380" t="inlineStr">
        <is>
          <t>08/10/2025</t>
        </is>
      </c>
      <c r="C380" t="inlineStr">
        <is>
          <t>Invoice</t>
        </is>
      </c>
      <c r="D380" t="inlineStr">
        <is>
          <t>INV-1015</t>
        </is>
      </c>
      <c r="E380" t="inlineStr">
        <is>
          <t>Corvus Labs Inc</t>
        </is>
      </c>
      <c r="F380" t="inlineStr">
        <is>
          <t>INV-1015 support plan</t>
        </is>
      </c>
      <c r="H380" t="inlineStr">
        <is>
          <t>4100 Service Revenue</t>
        </is>
      </c>
      <c r="I380">
        <f>8250.00</f>
        <v/>
      </c>
      <c r="J380">
        <f>101412.95</f>
        <v/>
      </c>
    </row>
    <row r="381">
      <c r="B381" t="inlineStr">
        <is>
          <t>08/10/2025</t>
        </is>
      </c>
      <c r="C381" t="inlineStr">
        <is>
          <t>Payment</t>
        </is>
      </c>
      <c r="D381" t="inlineStr"/>
      <c r="E381" t="inlineStr">
        <is>
          <t>Meridian Automation Co</t>
        </is>
      </c>
      <c r="F381" t="inlineStr">
        <is>
          <t>Payment on INV-1012</t>
        </is>
      </c>
      <c r="H381" t="inlineStr">
        <is>
          <t>1010 Northgate Checking 7742</t>
        </is>
      </c>
      <c r="I381">
        <f>-41415.68</f>
        <v/>
      </c>
      <c r="J381">
        <f>59997.27</f>
        <v/>
      </c>
    </row>
    <row r="382">
      <c r="B382" t="inlineStr">
        <is>
          <t>08/10/2025</t>
        </is>
      </c>
      <c r="C382" t="inlineStr">
        <is>
          <t>Payment</t>
        </is>
      </c>
      <c r="D382" t="inlineStr"/>
      <c r="E382" t="inlineStr">
        <is>
          <t>Meridian Automation Co</t>
        </is>
      </c>
      <c r="F382" t="inlineStr">
        <is>
          <t>Payment on INV-1013</t>
        </is>
      </c>
      <c r="H382" t="inlineStr">
        <is>
          <t>1010 Northgate Checking 7742</t>
        </is>
      </c>
      <c r="I382">
        <f>-8000.00</f>
        <v/>
      </c>
      <c r="J382">
        <f>51997.27</f>
        <v/>
      </c>
    </row>
    <row r="383">
      <c r="B383" t="inlineStr">
        <is>
          <t>09/10/2025</t>
        </is>
      </c>
      <c r="C383" t="inlineStr">
        <is>
          <t>Invoice</t>
        </is>
      </c>
      <c r="D383" t="inlineStr">
        <is>
          <t>INV-1016</t>
        </is>
      </c>
      <c r="E383" t="inlineStr">
        <is>
          <t>Volt Dynamics Inc</t>
        </is>
      </c>
      <c r="F383" t="inlineStr">
        <is>
          <t>INV-1016 robot cell</t>
        </is>
      </c>
      <c r="H383" t="inlineStr">
        <is>
          <t>4000 Product Revenue</t>
        </is>
      </c>
      <c r="I383">
        <f>45946.26</f>
        <v/>
      </c>
      <c r="J383">
        <f>97943.53</f>
        <v/>
      </c>
    </row>
    <row r="384">
      <c r="B384" t="inlineStr">
        <is>
          <t>09/10/2025</t>
        </is>
      </c>
      <c r="C384" t="inlineStr">
        <is>
          <t>Invoice</t>
        </is>
      </c>
      <c r="D384" t="inlineStr">
        <is>
          <t>INV-1017</t>
        </is>
      </c>
      <c r="E384" t="inlineStr">
        <is>
          <t>Volt Dynamics Inc</t>
        </is>
      </c>
      <c r="F384" t="inlineStr">
        <is>
          <t>INV-1017 support plan</t>
        </is>
      </c>
      <c r="H384" t="inlineStr">
        <is>
          <t>4100 Service Revenue</t>
        </is>
      </c>
      <c r="I384">
        <f>8500.00</f>
        <v/>
      </c>
      <c r="J384">
        <f>106443.53</f>
        <v/>
      </c>
    </row>
    <row r="385">
      <c r="B385" t="inlineStr">
        <is>
          <t>09/10/2025</t>
        </is>
      </c>
      <c r="C385" t="inlineStr">
        <is>
          <t>Payment</t>
        </is>
      </c>
      <c r="D385" t="inlineStr"/>
      <c r="E385" t="inlineStr">
        <is>
          <t>Corvus Labs Inc</t>
        </is>
      </c>
      <c r="F385" t="inlineStr">
        <is>
          <t>Payment on INV-1014</t>
        </is>
      </c>
      <c r="H385" t="inlineStr">
        <is>
          <t>1010 Northgate Checking 7742</t>
        </is>
      </c>
      <c r="I385">
        <f>-43747.27</f>
        <v/>
      </c>
      <c r="J385">
        <f>62696.26</f>
        <v/>
      </c>
    </row>
    <row r="386">
      <c r="B386" t="inlineStr">
        <is>
          <t>09/10/2025</t>
        </is>
      </c>
      <c r="C386" t="inlineStr">
        <is>
          <t>Payment</t>
        </is>
      </c>
      <c r="D386" t="inlineStr"/>
      <c r="E386" t="inlineStr">
        <is>
          <t>Corvus Labs Inc</t>
        </is>
      </c>
      <c r="F386" t="inlineStr">
        <is>
          <t>Payment on INV-1015</t>
        </is>
      </c>
      <c r="H386" t="inlineStr">
        <is>
          <t>1010 Northgate Checking 7742</t>
        </is>
      </c>
      <c r="I386">
        <f>-8250.00</f>
        <v/>
      </c>
      <c r="J386">
        <f>54446.26</f>
        <v/>
      </c>
    </row>
    <row r="387">
      <c r="B387" t="inlineStr">
        <is>
          <t>10/10/2025</t>
        </is>
      </c>
      <c r="C387" t="inlineStr">
        <is>
          <t>Invoice</t>
        </is>
      </c>
      <c r="D387" t="inlineStr">
        <is>
          <t>INV-1018</t>
        </is>
      </c>
      <c r="E387" t="inlineStr">
        <is>
          <t>Helios Manufacturing LLC</t>
        </is>
      </c>
      <c r="F387" t="inlineStr">
        <is>
          <t>INV-1018 robot cell</t>
        </is>
      </c>
      <c r="H387" t="inlineStr">
        <is>
          <t>4000 Product Revenue</t>
        </is>
      </c>
      <c r="I387">
        <f>46582.55</f>
        <v/>
      </c>
      <c r="J387">
        <f>101028.81</f>
        <v/>
      </c>
    </row>
    <row r="388">
      <c r="B388" t="inlineStr">
        <is>
          <t>10/10/2025</t>
        </is>
      </c>
      <c r="C388" t="inlineStr">
        <is>
          <t>Invoice</t>
        </is>
      </c>
      <c r="D388" t="inlineStr">
        <is>
          <t>INV-1019</t>
        </is>
      </c>
      <c r="E388" t="inlineStr">
        <is>
          <t>Helios Manufacturing LLC</t>
        </is>
      </c>
      <c r="F388" t="inlineStr">
        <is>
          <t>INV-1019 support plan</t>
        </is>
      </c>
      <c r="H388" t="inlineStr">
        <is>
          <t>4100 Service Revenue</t>
        </is>
      </c>
      <c r="I388">
        <f>8750.00</f>
        <v/>
      </c>
      <c r="J388">
        <f>109778.81</f>
        <v/>
      </c>
    </row>
    <row r="389">
      <c r="B389" t="inlineStr">
        <is>
          <t>11/10/2025</t>
        </is>
      </c>
      <c r="C389" t="inlineStr">
        <is>
          <t>Invoice</t>
        </is>
      </c>
      <c r="D389" t="inlineStr">
        <is>
          <t>INV-1020</t>
        </is>
      </c>
      <c r="E389" t="inlineStr">
        <is>
          <t>Meridian Automation Co</t>
        </is>
      </c>
      <c r="F389" t="inlineStr">
        <is>
          <t>INV-1020 robot cell</t>
        </is>
      </c>
      <c r="H389" t="inlineStr">
        <is>
          <t>4000 Product Revenue</t>
        </is>
      </c>
      <c r="I389">
        <f>49219.43</f>
        <v/>
      </c>
      <c r="J389">
        <f>158998.24</f>
        <v/>
      </c>
    </row>
    <row r="390">
      <c r="B390" t="inlineStr">
        <is>
          <t>11/10/2025</t>
        </is>
      </c>
      <c r="C390" t="inlineStr">
        <is>
          <t>Invoice</t>
        </is>
      </c>
      <c r="D390" t="inlineStr">
        <is>
          <t>INV-1021</t>
        </is>
      </c>
      <c r="E390" t="inlineStr">
        <is>
          <t>Meridian Automation Co</t>
        </is>
      </c>
      <c r="F390" t="inlineStr">
        <is>
          <t>INV-1021 support plan</t>
        </is>
      </c>
      <c r="H390" t="inlineStr">
        <is>
          <t>4100 Service Revenue</t>
        </is>
      </c>
      <c r="I390">
        <f>9000.00</f>
        <v/>
      </c>
      <c r="J390">
        <f>167998.24</f>
        <v/>
      </c>
    </row>
    <row r="391">
      <c r="B391" t="inlineStr">
        <is>
          <t>12/10/2025</t>
        </is>
      </c>
      <c r="C391" t="inlineStr">
        <is>
          <t>Invoice</t>
        </is>
      </c>
      <c r="D391" t="inlineStr">
        <is>
          <t>INV-1022</t>
        </is>
      </c>
      <c r="E391" t="inlineStr">
        <is>
          <t>Corvus Labs Inc</t>
        </is>
      </c>
      <c r="F391" t="inlineStr">
        <is>
          <t>INV-1022 robot cell</t>
        </is>
      </c>
      <c r="H391" t="inlineStr">
        <is>
          <t>4000 Product Revenue</t>
        </is>
      </c>
      <c r="I391">
        <f>52357.19</f>
        <v/>
      </c>
      <c r="J391">
        <f>220355.43</f>
        <v/>
      </c>
    </row>
    <row r="392">
      <c r="B392" t="inlineStr">
        <is>
          <t>12/10/2025</t>
        </is>
      </c>
      <c r="C392" t="inlineStr">
        <is>
          <t>Invoice</t>
        </is>
      </c>
      <c r="D392" t="inlineStr">
        <is>
          <t>INV-1023</t>
        </is>
      </c>
      <c r="E392" t="inlineStr">
        <is>
          <t>Corvus Labs Inc</t>
        </is>
      </c>
      <c r="F392" t="inlineStr">
        <is>
          <t>INV-1023 support plan</t>
        </is>
      </c>
      <c r="H392" t="inlineStr">
        <is>
          <t>4100 Service Revenue</t>
        </is>
      </c>
      <c r="I392">
        <f>9250.00</f>
        <v/>
      </c>
      <c r="J392">
        <f>229605.43</f>
        <v/>
      </c>
    </row>
    <row r="393">
      <c r="A393" t="inlineStr">
        <is>
          <t>Total for 1100 Accounts Receivable</t>
        </is>
      </c>
      <c r="I393">
        <f>229605.43</f>
        <v/>
      </c>
    </row>
    <row r="394"/>
    <row r="395">
      <c r="A395" t="inlineStr">
        <is>
          <t>1200 Paylane Clearing</t>
        </is>
      </c>
    </row>
    <row r="396">
      <c r="G396" t="inlineStr">
        <is>
          <t>Beginning Balance</t>
        </is>
      </c>
      <c r="J396">
        <f>0.00</f>
        <v/>
      </c>
    </row>
    <row r="397">
      <c r="B397" t="inlineStr">
        <is>
          <t>01/15/2025</t>
        </is>
      </c>
      <c r="C397" t="inlineStr">
        <is>
          <t>Deposit</t>
        </is>
      </c>
      <c r="D397" t="inlineStr"/>
      <c r="E397" t="inlineStr">
        <is>
          <t>Paylane</t>
        </is>
      </c>
      <c r="F397" t="inlineStr">
        <is>
          <t>Paylane payout 2025-01 #1</t>
        </is>
      </c>
      <c r="H397" t="inlineStr">
        <is>
          <t>1010 Northgate Checking 7742</t>
        </is>
      </c>
      <c r="I397">
        <f>-12460.27</f>
        <v/>
      </c>
      <c r="J397">
        <f>-12460.27</f>
        <v/>
      </c>
    </row>
    <row r="398">
      <c r="B398" t="inlineStr">
        <is>
          <t>01/31/2025</t>
        </is>
      </c>
      <c r="C398" t="inlineStr">
        <is>
          <t>Deposit</t>
        </is>
      </c>
      <c r="D398" t="inlineStr"/>
      <c r="E398" t="inlineStr">
        <is>
          <t>Paylane</t>
        </is>
      </c>
      <c r="F398" t="inlineStr">
        <is>
          <t>Paylane payout 2025-01 #2</t>
        </is>
      </c>
      <c r="H398" t="inlineStr">
        <is>
          <t>1010 Northgate Checking 7742</t>
        </is>
      </c>
      <c r="I398">
        <f>-10194.77</f>
        <v/>
      </c>
      <c r="J398">
        <f>-22655.04</f>
        <v/>
      </c>
    </row>
    <row r="399">
      <c r="B399" t="inlineStr">
        <is>
          <t>01/31/2025</t>
        </is>
      </c>
      <c r="C399" t="inlineStr">
        <is>
          <t>Journal Entry</t>
        </is>
      </c>
      <c r="D399" t="inlineStr">
        <is>
          <t>JE-1002</t>
        </is>
      </c>
      <c r="E399" t="inlineStr">
        <is>
          <t>Paylane</t>
        </is>
      </c>
      <c r="F399" t="inlineStr">
        <is>
          <t>Paylane settlement 2025-01</t>
        </is>
      </c>
      <c r="H399" t="inlineStr">
        <is>
          <t>-Split-</t>
        </is>
      </c>
      <c r="I399">
        <f>22655.04</f>
        <v/>
      </c>
      <c r="J399">
        <f>0.00</f>
        <v/>
      </c>
    </row>
    <row r="400">
      <c r="B400" t="inlineStr">
        <is>
          <t>02/15/2025</t>
        </is>
      </c>
      <c r="C400" t="inlineStr">
        <is>
          <t>Deposit</t>
        </is>
      </c>
      <c r="D400" t="inlineStr"/>
      <c r="E400" t="inlineStr">
        <is>
          <t>Paylane</t>
        </is>
      </c>
      <c r="F400" t="inlineStr">
        <is>
          <t>Paylane payout 2025-02 #1</t>
        </is>
      </c>
      <c r="H400" t="inlineStr">
        <is>
          <t>1010 Northgate Checking 7742</t>
        </is>
      </c>
      <c r="I400">
        <f>-13408.20</f>
        <v/>
      </c>
      <c r="J400">
        <f>-13408.20</f>
        <v/>
      </c>
    </row>
    <row r="401">
      <c r="B401" t="inlineStr">
        <is>
          <t>02/28/2025</t>
        </is>
      </c>
      <c r="C401" t="inlineStr">
        <is>
          <t>Deposit</t>
        </is>
      </c>
      <c r="D401" t="inlineStr"/>
      <c r="E401" t="inlineStr">
        <is>
          <t>Paylane</t>
        </is>
      </c>
      <c r="F401" t="inlineStr">
        <is>
          <t>Paylane payout 2025-02 #2</t>
        </is>
      </c>
      <c r="H401" t="inlineStr">
        <is>
          <t>1010 Northgate Checking 7742</t>
        </is>
      </c>
      <c r="I401">
        <f>-10970.35</f>
        <v/>
      </c>
      <c r="J401">
        <f>-24378.55</f>
        <v/>
      </c>
    </row>
    <row r="402">
      <c r="B402" t="inlineStr">
        <is>
          <t>02/28/2025</t>
        </is>
      </c>
      <c r="C402" t="inlineStr">
        <is>
          <t>Journal Entry</t>
        </is>
      </c>
      <c r="D402" t="inlineStr">
        <is>
          <t>JE-1005</t>
        </is>
      </c>
      <c r="E402" t="inlineStr">
        <is>
          <t>Paylane</t>
        </is>
      </c>
      <c r="F402" t="inlineStr">
        <is>
          <t>Paylane settlement 2025-02</t>
        </is>
      </c>
      <c r="H402" t="inlineStr">
        <is>
          <t>-Split-</t>
        </is>
      </c>
      <c r="I402">
        <f>24378.55</f>
        <v/>
      </c>
      <c r="J402">
        <f>0.00</f>
        <v/>
      </c>
    </row>
    <row r="403">
      <c r="B403" t="inlineStr">
        <is>
          <t>03/15/2025</t>
        </is>
      </c>
      <c r="C403" t="inlineStr">
        <is>
          <t>Deposit</t>
        </is>
      </c>
      <c r="D403" t="inlineStr"/>
      <c r="E403" t="inlineStr">
        <is>
          <t>Paylane</t>
        </is>
      </c>
      <c r="F403" t="inlineStr">
        <is>
          <t>Paylane payout 2025-03 #1</t>
        </is>
      </c>
      <c r="H403" t="inlineStr">
        <is>
          <t>1010 Northgate Checking 7742</t>
        </is>
      </c>
      <c r="I403">
        <f>-14806.72</f>
        <v/>
      </c>
      <c r="J403">
        <f>-14806.72</f>
        <v/>
      </c>
    </row>
    <row r="404">
      <c r="B404" t="inlineStr">
        <is>
          <t>03/31/2025</t>
        </is>
      </c>
      <c r="C404" t="inlineStr">
        <is>
          <t>Deposit</t>
        </is>
      </c>
      <c r="D404" t="inlineStr"/>
      <c r="E404" t="inlineStr">
        <is>
          <t>Paylane</t>
        </is>
      </c>
      <c r="F404" t="inlineStr">
        <is>
          <t>Paylane payout 2025-03 #2</t>
        </is>
      </c>
      <c r="H404" t="inlineStr">
        <is>
          <t>1010 Northgate Checking 7742</t>
        </is>
      </c>
      <c r="I404">
        <f>-12114.59</f>
        <v/>
      </c>
      <c r="J404">
        <f>-26921.31</f>
        <v/>
      </c>
    </row>
    <row r="405">
      <c r="B405" t="inlineStr">
        <is>
          <t>03/31/2025</t>
        </is>
      </c>
      <c r="C405" t="inlineStr">
        <is>
          <t>Journal Entry</t>
        </is>
      </c>
      <c r="D405" t="inlineStr">
        <is>
          <t>JE-1009</t>
        </is>
      </c>
      <c r="E405" t="inlineStr">
        <is>
          <t>Paylane</t>
        </is>
      </c>
      <c r="F405" t="inlineStr">
        <is>
          <t>Paylane settlement 2025-03</t>
        </is>
      </c>
      <c r="H405" t="inlineStr">
        <is>
          <t>-Split-</t>
        </is>
      </c>
      <c r="I405">
        <f>26921.31</f>
        <v/>
      </c>
      <c r="J405">
        <f>0.00</f>
        <v/>
      </c>
    </row>
    <row r="406">
      <c r="B406" t="inlineStr">
        <is>
          <t>04/15/2025</t>
        </is>
      </c>
      <c r="C406" t="inlineStr">
        <is>
          <t>Deposit</t>
        </is>
      </c>
      <c r="D406" t="inlineStr"/>
      <c r="E406" t="inlineStr">
        <is>
          <t>Paylane</t>
        </is>
      </c>
      <c r="F406" t="inlineStr">
        <is>
          <t>Paylane payout 2025-04 #1</t>
        </is>
      </c>
      <c r="H406" t="inlineStr">
        <is>
          <t>1010 Northgate Checking 7742</t>
        </is>
      </c>
      <c r="I406">
        <f>-14908.69</f>
        <v/>
      </c>
      <c r="J406">
        <f>-14908.69</f>
        <v/>
      </c>
    </row>
    <row r="407">
      <c r="B407" t="inlineStr">
        <is>
          <t>04/30/2025</t>
        </is>
      </c>
      <c r="C407" t="inlineStr">
        <is>
          <t>Deposit</t>
        </is>
      </c>
      <c r="D407" t="inlineStr"/>
      <c r="E407" t="inlineStr">
        <is>
          <t>Paylane</t>
        </is>
      </c>
      <c r="F407" t="inlineStr">
        <is>
          <t>Paylane payout 2025-04 #2</t>
        </is>
      </c>
      <c r="H407" t="inlineStr">
        <is>
          <t>1010 Northgate Checking 7742</t>
        </is>
      </c>
      <c r="I407">
        <f>-12198.02</f>
        <v/>
      </c>
      <c r="J407">
        <f>-27106.71</f>
        <v/>
      </c>
    </row>
    <row r="408">
      <c r="B408" t="inlineStr">
        <is>
          <t>04/30/2025</t>
        </is>
      </c>
      <c r="C408" t="inlineStr">
        <is>
          <t>Journal Entry</t>
        </is>
      </c>
      <c r="D408" t="inlineStr">
        <is>
          <t>JE-1014</t>
        </is>
      </c>
      <c r="E408" t="inlineStr">
        <is>
          <t>Paylane</t>
        </is>
      </c>
      <c r="F408" t="inlineStr">
        <is>
          <t>Paylane settlement 2025-04</t>
        </is>
      </c>
      <c r="H408" t="inlineStr">
        <is>
          <t>-Split-</t>
        </is>
      </c>
      <c r="I408">
        <f>27106.71</f>
        <v/>
      </c>
      <c r="J408">
        <f>0.00</f>
        <v/>
      </c>
    </row>
    <row r="409">
      <c r="B409" t="inlineStr">
        <is>
          <t>05/15/2025</t>
        </is>
      </c>
      <c r="C409" t="inlineStr">
        <is>
          <t>Deposit</t>
        </is>
      </c>
      <c r="D409" t="inlineStr"/>
      <c r="E409" t="inlineStr">
        <is>
          <t>Paylane</t>
        </is>
      </c>
      <c r="F409" t="inlineStr">
        <is>
          <t>Paylane payout 2025-05 #1</t>
        </is>
      </c>
      <c r="H409" t="inlineStr">
        <is>
          <t>1010 Northgate Checking 7742</t>
        </is>
      </c>
      <c r="I409">
        <f>-15626.32</f>
        <v/>
      </c>
      <c r="J409">
        <f>-15626.32</f>
        <v/>
      </c>
    </row>
    <row r="410">
      <c r="B410" t="inlineStr">
        <is>
          <t>05/31/2025</t>
        </is>
      </c>
      <c r="C410" t="inlineStr">
        <is>
          <t>Deposit</t>
        </is>
      </c>
      <c r="D410" t="inlineStr"/>
      <c r="E410" t="inlineStr">
        <is>
          <t>Paylane</t>
        </is>
      </c>
      <c r="F410" t="inlineStr">
        <is>
          <t>Paylane payout 2025-05 #2</t>
        </is>
      </c>
      <c r="H410" t="inlineStr">
        <is>
          <t>1010 Northgate Checking 7742</t>
        </is>
      </c>
      <c r="I410">
        <f>-12785.18</f>
        <v/>
      </c>
      <c r="J410">
        <f>-28411.50</f>
        <v/>
      </c>
    </row>
    <row r="411">
      <c r="B411" t="inlineStr">
        <is>
          <t>05/31/2025</t>
        </is>
      </c>
      <c r="C411" t="inlineStr">
        <is>
          <t>Journal Entry</t>
        </is>
      </c>
      <c r="D411" t="inlineStr">
        <is>
          <t>JE-1019</t>
        </is>
      </c>
      <c r="E411" t="inlineStr">
        <is>
          <t>Paylane</t>
        </is>
      </c>
      <c r="F411" t="inlineStr">
        <is>
          <t>Paylane settlement 2025-05</t>
        </is>
      </c>
      <c r="H411" t="inlineStr">
        <is>
          <t>-Split-</t>
        </is>
      </c>
      <c r="I411">
        <f>28411.50</f>
        <v/>
      </c>
      <c r="J411">
        <f>0.00</f>
        <v/>
      </c>
    </row>
    <row r="412">
      <c r="B412" t="inlineStr">
        <is>
          <t>06/15/2025</t>
        </is>
      </c>
      <c r="C412" t="inlineStr">
        <is>
          <t>Deposit</t>
        </is>
      </c>
      <c r="D412" t="inlineStr"/>
      <c r="E412" t="inlineStr">
        <is>
          <t>Paylane</t>
        </is>
      </c>
      <c r="F412" t="inlineStr">
        <is>
          <t>Paylane payout 2025-06 #1</t>
        </is>
      </c>
      <c r="H412" t="inlineStr">
        <is>
          <t>1010 Northgate Checking 7742</t>
        </is>
      </c>
      <c r="I412">
        <f>-16886.52</f>
        <v/>
      </c>
      <c r="J412">
        <f>-16886.52</f>
        <v/>
      </c>
    </row>
    <row r="413">
      <c r="B413" t="inlineStr">
        <is>
          <t>06/30/2025</t>
        </is>
      </c>
      <c r="C413" t="inlineStr">
        <is>
          <t>Deposit</t>
        </is>
      </c>
      <c r="D413" t="inlineStr"/>
      <c r="E413" t="inlineStr">
        <is>
          <t>Paylane</t>
        </is>
      </c>
      <c r="F413" t="inlineStr">
        <is>
          <t>Paylane payout 2025-06 #2</t>
        </is>
      </c>
      <c r="H413" t="inlineStr">
        <is>
          <t>1010 Northgate Checking 7742</t>
        </is>
      </c>
      <c r="I413">
        <f>-13816.24</f>
        <v/>
      </c>
      <c r="J413">
        <f>-30702.76</f>
        <v/>
      </c>
    </row>
    <row r="414">
      <c r="B414" t="inlineStr">
        <is>
          <t>06/30/2025</t>
        </is>
      </c>
      <c r="C414" t="inlineStr">
        <is>
          <t>Journal Entry</t>
        </is>
      </c>
      <c r="D414" t="inlineStr">
        <is>
          <t>JE-1024</t>
        </is>
      </c>
      <c r="E414" t="inlineStr">
        <is>
          <t>Paylane</t>
        </is>
      </c>
      <c r="F414" t="inlineStr">
        <is>
          <t>Paylane settlement 2025-06</t>
        </is>
      </c>
      <c r="H414" t="inlineStr">
        <is>
          <t>-Split-</t>
        </is>
      </c>
      <c r="I414">
        <f>30702.76</f>
        <v/>
      </c>
      <c r="J414">
        <f>0.00</f>
        <v/>
      </c>
    </row>
    <row r="415">
      <c r="B415" t="inlineStr">
        <is>
          <t>07/15/2025</t>
        </is>
      </c>
      <c r="C415" t="inlineStr">
        <is>
          <t>Deposit</t>
        </is>
      </c>
      <c r="D415" t="inlineStr"/>
      <c r="E415" t="inlineStr">
        <is>
          <t>Paylane</t>
        </is>
      </c>
      <c r="F415" t="inlineStr">
        <is>
          <t>Paylane payout 2025-07 #1</t>
        </is>
      </c>
      <c r="H415" t="inlineStr">
        <is>
          <t>1010 Northgate Checking 7742</t>
        </is>
      </c>
      <c r="I415">
        <f>-17936.71</f>
        <v/>
      </c>
      <c r="J415">
        <f>-17936.71</f>
        <v/>
      </c>
    </row>
    <row r="416">
      <c r="B416" t="inlineStr">
        <is>
          <t>07/31/2025</t>
        </is>
      </c>
      <c r="C416" t="inlineStr">
        <is>
          <t>Deposit</t>
        </is>
      </c>
      <c r="D416" t="inlineStr"/>
      <c r="E416" t="inlineStr">
        <is>
          <t>Paylane</t>
        </is>
      </c>
      <c r="F416" t="inlineStr">
        <is>
          <t>Paylane payout 2025-07 #2</t>
        </is>
      </c>
      <c r="H416" t="inlineStr">
        <is>
          <t>1010 Northgate Checking 7742</t>
        </is>
      </c>
      <c r="I416">
        <f>-14675.49</f>
        <v/>
      </c>
      <c r="J416">
        <f>-32612.20</f>
        <v/>
      </c>
    </row>
    <row r="417">
      <c r="B417" t="inlineStr">
        <is>
          <t>07/31/2025</t>
        </is>
      </c>
      <c r="C417" t="inlineStr">
        <is>
          <t>Journal Entry</t>
        </is>
      </c>
      <c r="D417" t="inlineStr">
        <is>
          <t>JE-1029</t>
        </is>
      </c>
      <c r="E417" t="inlineStr">
        <is>
          <t>Paylane</t>
        </is>
      </c>
      <c r="F417" t="inlineStr">
        <is>
          <t>Paylane settlement 2025-07</t>
        </is>
      </c>
      <c r="H417" t="inlineStr">
        <is>
          <t>-Split-</t>
        </is>
      </c>
      <c r="I417">
        <f>32612.20</f>
        <v/>
      </c>
      <c r="J417">
        <f>0.00</f>
        <v/>
      </c>
    </row>
    <row r="418">
      <c r="B418" t="inlineStr">
        <is>
          <t>08/15/2025</t>
        </is>
      </c>
      <c r="C418" t="inlineStr">
        <is>
          <t>Deposit</t>
        </is>
      </c>
      <c r="D418" t="inlineStr"/>
      <c r="E418" t="inlineStr">
        <is>
          <t>Paylane</t>
        </is>
      </c>
      <c r="F418" t="inlineStr">
        <is>
          <t>Paylane payout 2025-08 #1</t>
        </is>
      </c>
      <c r="H418" t="inlineStr">
        <is>
          <t>1010 Northgate Checking 7742</t>
        </is>
      </c>
      <c r="I418">
        <f>-18094.91</f>
        <v/>
      </c>
      <c r="J418">
        <f>-18094.91</f>
        <v/>
      </c>
    </row>
    <row r="419">
      <c r="B419" t="inlineStr">
        <is>
          <t>08/31/2025</t>
        </is>
      </c>
      <c r="C419" t="inlineStr">
        <is>
          <t>Deposit</t>
        </is>
      </c>
      <c r="D419" t="inlineStr"/>
      <c r="E419" t="inlineStr">
        <is>
          <t>Paylane</t>
        </is>
      </c>
      <c r="F419" t="inlineStr">
        <is>
          <t>Paylane payout 2025-08 #2</t>
        </is>
      </c>
      <c r="H419" t="inlineStr">
        <is>
          <t>1010 Northgate Checking 7742</t>
        </is>
      </c>
      <c r="I419">
        <f>-14804.93</f>
        <v/>
      </c>
      <c r="J419">
        <f>-32899.84</f>
        <v/>
      </c>
    </row>
    <row r="420">
      <c r="B420" t="inlineStr">
        <is>
          <t>08/31/2025</t>
        </is>
      </c>
      <c r="C420" t="inlineStr">
        <is>
          <t>Journal Entry</t>
        </is>
      </c>
      <c r="D420" t="inlineStr">
        <is>
          <t>JE-1033</t>
        </is>
      </c>
      <c r="E420" t="inlineStr">
        <is>
          <t>Paylane</t>
        </is>
      </c>
      <c r="F420" t="inlineStr">
        <is>
          <t>Paylane settlement 2025-08</t>
        </is>
      </c>
      <c r="H420" t="inlineStr">
        <is>
          <t>-Split-</t>
        </is>
      </c>
      <c r="I420">
        <f>32899.84</f>
        <v/>
      </c>
      <c r="J420">
        <f>0.00</f>
        <v/>
      </c>
    </row>
    <row r="421">
      <c r="B421" t="inlineStr">
        <is>
          <t>09/15/2025</t>
        </is>
      </c>
      <c r="C421" t="inlineStr">
        <is>
          <t>Deposit</t>
        </is>
      </c>
      <c r="D421" t="inlineStr"/>
      <c r="E421" t="inlineStr">
        <is>
          <t>Paylane</t>
        </is>
      </c>
      <c r="F421" t="inlineStr">
        <is>
          <t>Paylane payout 2025-09 #1</t>
        </is>
      </c>
      <c r="H421" t="inlineStr">
        <is>
          <t>1010 Northgate Checking 7742</t>
        </is>
      </c>
      <c r="I421">
        <f>-19606.62</f>
        <v/>
      </c>
      <c r="J421">
        <f>-19606.62</f>
        <v/>
      </c>
    </row>
    <row r="422">
      <c r="B422" t="inlineStr">
        <is>
          <t>09/30/2025</t>
        </is>
      </c>
      <c r="C422" t="inlineStr">
        <is>
          <t>Deposit</t>
        </is>
      </c>
      <c r="D422" t="inlineStr"/>
      <c r="E422" t="inlineStr">
        <is>
          <t>Paylane</t>
        </is>
      </c>
      <c r="F422" t="inlineStr">
        <is>
          <t>Paylane payout 2025-09 #2</t>
        </is>
      </c>
      <c r="H422" t="inlineStr">
        <is>
          <t>1010 Northgate Checking 7742</t>
        </is>
      </c>
      <c r="I422">
        <f>-16041.78</f>
        <v/>
      </c>
      <c r="J422">
        <f>-35648.40</f>
        <v/>
      </c>
    </row>
    <row r="423">
      <c r="B423" t="inlineStr">
        <is>
          <t>10/15/2025</t>
        </is>
      </c>
      <c r="C423" t="inlineStr">
        <is>
          <t>Journal Entry</t>
        </is>
      </c>
      <c r="D423" t="inlineStr">
        <is>
          <t>JE-1039</t>
        </is>
      </c>
      <c r="E423" t="inlineStr">
        <is>
          <t>Paylane</t>
        </is>
      </c>
      <c r="F423" t="inlineStr">
        <is>
          <t>Paylane payout 2025-10 #1</t>
        </is>
      </c>
      <c r="H423" t="inlineStr">
        <is>
          <t>1010 Northgate Checking 7742</t>
        </is>
      </c>
      <c r="I423">
        <f>-19951.27</f>
        <v/>
      </c>
      <c r="J423">
        <f>-55599.67</f>
        <v/>
      </c>
    </row>
    <row r="424">
      <c r="B424" t="inlineStr">
        <is>
          <t>10/31/2025</t>
        </is>
      </c>
      <c r="C424" t="inlineStr">
        <is>
          <t>Journal Entry</t>
        </is>
      </c>
      <c r="D424" t="inlineStr">
        <is>
          <t>JE-1040</t>
        </is>
      </c>
      <c r="E424" t="inlineStr">
        <is>
          <t>Paylane</t>
        </is>
      </c>
      <c r="F424" t="inlineStr">
        <is>
          <t>Paylane payout 2025-10 #2</t>
        </is>
      </c>
      <c r="H424" t="inlineStr">
        <is>
          <t>1010 Northgate Checking 7742</t>
        </is>
      </c>
      <c r="I424">
        <f>-16323.76</f>
        <v/>
      </c>
      <c r="J424">
        <f>-71923.43</f>
        <v/>
      </c>
    </row>
    <row r="425">
      <c r="B425" t="inlineStr">
        <is>
          <t>11/15/2025</t>
        </is>
      </c>
      <c r="C425" t="inlineStr">
        <is>
          <t>Journal Entry</t>
        </is>
      </c>
      <c r="D425" t="inlineStr">
        <is>
          <t>JE-1044</t>
        </is>
      </c>
      <c r="E425" t="inlineStr">
        <is>
          <t>Paylane</t>
        </is>
      </c>
      <c r="F425" t="inlineStr">
        <is>
          <t>Paylane payout 2025-11 #1</t>
        </is>
      </c>
      <c r="H425" t="inlineStr">
        <is>
          <t>1010 Northgate Checking 7742</t>
        </is>
      </c>
      <c r="I425">
        <f>-20726.47</f>
        <v/>
      </c>
      <c r="J425">
        <f>-92649.90</f>
        <v/>
      </c>
    </row>
    <row r="426">
      <c r="B426" t="inlineStr">
        <is>
          <t>11/30/2025</t>
        </is>
      </c>
      <c r="C426" t="inlineStr">
        <is>
          <t>Journal Entry</t>
        </is>
      </c>
      <c r="D426" t="inlineStr">
        <is>
          <t>JE-1045</t>
        </is>
      </c>
      <c r="E426" t="inlineStr">
        <is>
          <t>Paylane</t>
        </is>
      </c>
      <c r="F426" t="inlineStr">
        <is>
          <t>Paylane payout 2025-11 #2</t>
        </is>
      </c>
      <c r="H426" t="inlineStr">
        <is>
          <t>1010 Northgate Checking 7742</t>
        </is>
      </c>
      <c r="I426">
        <f>-16958.02</f>
        <v/>
      </c>
      <c r="J426">
        <f>-109607.92</f>
        <v/>
      </c>
    </row>
    <row r="427">
      <c r="B427" t="inlineStr">
        <is>
          <t>12/15/2025</t>
        </is>
      </c>
      <c r="C427" t="inlineStr">
        <is>
          <t>Journal Entry</t>
        </is>
      </c>
      <c r="D427" t="inlineStr">
        <is>
          <t>JE-1049</t>
        </is>
      </c>
      <c r="E427" t="inlineStr">
        <is>
          <t>Paylane</t>
        </is>
      </c>
      <c r="F427" t="inlineStr">
        <is>
          <t>Paylane payout 2025-12 #1</t>
        </is>
      </c>
      <c r="H427" t="inlineStr">
        <is>
          <t>1010 Northgate Checking 7742</t>
        </is>
      </c>
      <c r="I427">
        <f>-21808.40</f>
        <v/>
      </c>
      <c r="J427">
        <f>-131416.32</f>
        <v/>
      </c>
    </row>
    <row r="428">
      <c r="B428" t="inlineStr">
        <is>
          <t>12/31/2025</t>
        </is>
      </c>
      <c r="C428" t="inlineStr">
        <is>
          <t>Journal Entry</t>
        </is>
      </c>
      <c r="D428" t="inlineStr">
        <is>
          <t>JE-1050</t>
        </is>
      </c>
      <c r="E428" t="inlineStr">
        <is>
          <t>Paylane</t>
        </is>
      </c>
      <c r="F428" t="inlineStr">
        <is>
          <t>Paylane payout 2025-12 #2</t>
        </is>
      </c>
      <c r="H428" t="inlineStr">
        <is>
          <t>1010 Northgate Checking 7742</t>
        </is>
      </c>
      <c r="I428">
        <f>-17843.23</f>
        <v/>
      </c>
      <c r="J428">
        <f>-149259.55</f>
        <v/>
      </c>
    </row>
    <row r="429">
      <c r="A429" t="inlineStr">
        <is>
          <t>Total for 1200 Paylane Clearing</t>
        </is>
      </c>
      <c r="I429">
        <f>-149259.55</f>
        <v/>
      </c>
    </row>
    <row r="430"/>
    <row r="431">
      <c r="A431" t="inlineStr">
        <is>
          <t>1300 Prepaid Insurance</t>
        </is>
      </c>
    </row>
    <row r="432">
      <c r="G432" t="inlineStr">
        <is>
          <t>Beginning Balance</t>
        </is>
      </c>
      <c r="J432">
        <f>0.00</f>
        <v/>
      </c>
    </row>
    <row r="433">
      <c r="B433" t="inlineStr">
        <is>
          <t>01/02/2025</t>
        </is>
      </c>
      <c r="C433" t="inlineStr">
        <is>
          <t>Check</t>
        </is>
      </c>
      <c r="D433" t="inlineStr"/>
      <c r="E433" t="inlineStr">
        <is>
          <t>Adatum Insurance</t>
        </is>
      </c>
      <c r="F433" t="inlineStr">
        <is>
          <t>12-month general liability policy 2025-01 to 2025-12</t>
        </is>
      </c>
      <c r="H433" t="inlineStr">
        <is>
          <t>1010 Northgate Checking 7742</t>
        </is>
      </c>
      <c r="I433">
        <f>14400.00</f>
        <v/>
      </c>
      <c r="J433">
        <f>14400.00</f>
        <v/>
      </c>
    </row>
    <row r="434">
      <c r="B434" t="inlineStr">
        <is>
          <t>01/31/2025</t>
        </is>
      </c>
      <c r="C434" t="inlineStr">
        <is>
          <t>Journal Entry</t>
        </is>
      </c>
      <c r="D434" t="inlineStr">
        <is>
          <t>JE-1003</t>
        </is>
      </c>
      <c r="E434" t="inlineStr">
        <is>
          <t>Adatum Insurance</t>
        </is>
      </c>
      <c r="F434" t="inlineStr">
        <is>
          <t>Insurance 2025-01</t>
        </is>
      </c>
      <c r="H434" t="inlineStr">
        <is>
          <t>6500 Insurance</t>
        </is>
      </c>
      <c r="I434">
        <f>-1200.00</f>
        <v/>
      </c>
      <c r="J434">
        <f>13200.00</f>
        <v/>
      </c>
    </row>
    <row r="435">
      <c r="B435" t="inlineStr">
        <is>
          <t>02/28/2025</t>
        </is>
      </c>
      <c r="C435" t="inlineStr">
        <is>
          <t>Journal Entry</t>
        </is>
      </c>
      <c r="D435" t="inlineStr">
        <is>
          <t>JE-1006</t>
        </is>
      </c>
      <c r="E435" t="inlineStr">
        <is>
          <t>Adatum Insurance</t>
        </is>
      </c>
      <c r="F435" t="inlineStr">
        <is>
          <t>Insurance 2025-02</t>
        </is>
      </c>
      <c r="H435" t="inlineStr">
        <is>
          <t>6500 Insurance</t>
        </is>
      </c>
      <c r="I435">
        <f>-1200.00</f>
        <v/>
      </c>
      <c r="J435">
        <f>12000.00</f>
        <v/>
      </c>
    </row>
    <row r="436">
      <c r="B436" t="inlineStr">
        <is>
          <t>03/31/2025</t>
        </is>
      </c>
      <c r="C436" t="inlineStr">
        <is>
          <t>Journal Entry</t>
        </is>
      </c>
      <c r="D436" t="inlineStr">
        <is>
          <t>JE-1010</t>
        </is>
      </c>
      <c r="E436" t="inlineStr">
        <is>
          <t>Adatum Insurance</t>
        </is>
      </c>
      <c r="F436" t="inlineStr">
        <is>
          <t>Insurance 2025-03</t>
        </is>
      </c>
      <c r="H436" t="inlineStr">
        <is>
          <t>6500 Insurance</t>
        </is>
      </c>
      <c r="I436">
        <f>-1200.00</f>
        <v/>
      </c>
      <c r="J436">
        <f>10800.00</f>
        <v/>
      </c>
    </row>
    <row r="437">
      <c r="B437" t="inlineStr">
        <is>
          <t>04/30/2025</t>
        </is>
      </c>
      <c r="C437" t="inlineStr">
        <is>
          <t>Journal Entry</t>
        </is>
      </c>
      <c r="D437" t="inlineStr">
        <is>
          <t>JE-1015</t>
        </is>
      </c>
      <c r="E437" t="inlineStr">
        <is>
          <t>Adatum Insurance</t>
        </is>
      </c>
      <c r="F437" t="inlineStr">
        <is>
          <t>Insurance 2025-04</t>
        </is>
      </c>
      <c r="H437" t="inlineStr">
        <is>
          <t>6500 Insurance</t>
        </is>
      </c>
      <c r="I437">
        <f>-1200.00</f>
        <v/>
      </c>
      <c r="J437">
        <f>9600.00</f>
        <v/>
      </c>
    </row>
    <row r="438">
      <c r="B438" t="inlineStr">
        <is>
          <t>05/31/2025</t>
        </is>
      </c>
      <c r="C438" t="inlineStr">
        <is>
          <t>Journal Entry</t>
        </is>
      </c>
      <c r="D438" t="inlineStr">
        <is>
          <t>JE-1020</t>
        </is>
      </c>
      <c r="E438" t="inlineStr">
        <is>
          <t>Adatum Insurance</t>
        </is>
      </c>
      <c r="F438" t="inlineStr">
        <is>
          <t>Insurance 2025-05</t>
        </is>
      </c>
      <c r="H438" t="inlineStr">
        <is>
          <t>6500 Insurance</t>
        </is>
      </c>
      <c r="I438">
        <f>-1200.00</f>
        <v/>
      </c>
      <c r="J438">
        <f>8400.00</f>
        <v/>
      </c>
    </row>
    <row r="439">
      <c r="B439" t="inlineStr">
        <is>
          <t>06/30/2025</t>
        </is>
      </c>
      <c r="C439" t="inlineStr">
        <is>
          <t>Journal Entry</t>
        </is>
      </c>
      <c r="D439" t="inlineStr">
        <is>
          <t>JE-1025</t>
        </is>
      </c>
      <c r="E439" t="inlineStr">
        <is>
          <t>Adatum Insurance</t>
        </is>
      </c>
      <c r="F439" t="inlineStr">
        <is>
          <t>Insurance 2025-06</t>
        </is>
      </c>
      <c r="H439" t="inlineStr">
        <is>
          <t>6500 Insurance</t>
        </is>
      </c>
      <c r="I439">
        <f>-1200.00</f>
        <v/>
      </c>
      <c r="J439">
        <f>7200.00</f>
        <v/>
      </c>
    </row>
    <row r="440">
      <c r="A440" t="inlineStr">
        <is>
          <t>Total for 1300 Prepaid Insurance</t>
        </is>
      </c>
      <c r="I440">
        <f>7200.00</f>
        <v/>
      </c>
    </row>
    <row r="441"/>
    <row r="442">
      <c r="A442" t="inlineStr">
        <is>
          <t>1310 Prepaid Software</t>
        </is>
      </c>
    </row>
    <row r="443">
      <c r="G443" t="inlineStr">
        <is>
          <t>Beginning Balance</t>
        </is>
      </c>
      <c r="J443">
        <f>0.00</f>
        <v/>
      </c>
    </row>
    <row r="444">
      <c r="B444" t="inlineStr">
        <is>
          <t>03/03/2025</t>
        </is>
      </c>
      <c r="C444" t="inlineStr">
        <is>
          <t>Check</t>
        </is>
      </c>
      <c r="D444" t="inlineStr"/>
      <c r="E444" t="inlineStr">
        <is>
          <t>Tailspin Tools</t>
        </is>
      </c>
      <c r="F444" t="inlineStr">
        <is>
          <t>Annual platform contract 2025-03 to 2026-02</t>
        </is>
      </c>
      <c r="H444" t="inlineStr">
        <is>
          <t>1010 Northgate Checking 7742</t>
        </is>
      </c>
      <c r="I444">
        <f>9600.00</f>
        <v/>
      </c>
      <c r="J444">
        <f>9600.00</f>
        <v/>
      </c>
    </row>
    <row r="445">
      <c r="B445" t="inlineStr">
        <is>
          <t>03/31/2025</t>
        </is>
      </c>
      <c r="C445" t="inlineStr">
        <is>
          <t>Journal Entry</t>
        </is>
      </c>
      <c r="D445" t="inlineStr">
        <is>
          <t>JE-1011</t>
        </is>
      </c>
      <c r="E445" t="inlineStr">
        <is>
          <t>Tailspin Tools</t>
        </is>
      </c>
      <c r="F445" t="inlineStr">
        <is>
          <t>Software 2025-03</t>
        </is>
      </c>
      <c r="H445" t="inlineStr">
        <is>
          <t>6200 Software Subscriptions</t>
        </is>
      </c>
      <c r="I445">
        <f>-800.00</f>
        <v/>
      </c>
      <c r="J445">
        <f>8800.00</f>
        <v/>
      </c>
    </row>
    <row r="446">
      <c r="B446" t="inlineStr">
        <is>
          <t>04/30/2025</t>
        </is>
      </c>
      <c r="C446" t="inlineStr">
        <is>
          <t>Journal Entry</t>
        </is>
      </c>
      <c r="D446" t="inlineStr">
        <is>
          <t>JE-1016</t>
        </is>
      </c>
      <c r="E446" t="inlineStr">
        <is>
          <t>Tailspin Tools</t>
        </is>
      </c>
      <c r="F446" t="inlineStr">
        <is>
          <t>Software 2025-04</t>
        </is>
      </c>
      <c r="H446" t="inlineStr">
        <is>
          <t>6200 Software Subscriptions</t>
        </is>
      </c>
      <c r="I446">
        <f>-800.00</f>
        <v/>
      </c>
      <c r="J446">
        <f>8000.00</f>
        <v/>
      </c>
    </row>
    <row r="447">
      <c r="B447" t="inlineStr">
        <is>
          <t>05/31/2025</t>
        </is>
      </c>
      <c r="C447" t="inlineStr">
        <is>
          <t>Journal Entry</t>
        </is>
      </c>
      <c r="D447" t="inlineStr">
        <is>
          <t>JE-1021</t>
        </is>
      </c>
      <c r="E447" t="inlineStr">
        <is>
          <t>Tailspin Tools</t>
        </is>
      </c>
      <c r="F447" t="inlineStr">
        <is>
          <t>Software 2025-05</t>
        </is>
      </c>
      <c r="H447" t="inlineStr">
        <is>
          <t>6200 Software Subscriptions</t>
        </is>
      </c>
      <c r="I447">
        <f>-800.00</f>
        <v/>
      </c>
      <c r="J447">
        <f>7200.00</f>
        <v/>
      </c>
    </row>
    <row r="448">
      <c r="B448" t="inlineStr">
        <is>
          <t>06/30/2025</t>
        </is>
      </c>
      <c r="C448" t="inlineStr">
        <is>
          <t>Journal Entry</t>
        </is>
      </c>
      <c r="D448" t="inlineStr">
        <is>
          <t>JE-1026</t>
        </is>
      </c>
      <c r="E448" t="inlineStr">
        <is>
          <t>Tailspin Tools</t>
        </is>
      </c>
      <c r="F448" t="inlineStr">
        <is>
          <t>Software 2025-06</t>
        </is>
      </c>
      <c r="H448" t="inlineStr">
        <is>
          <t>6200 Software Subscriptions</t>
        </is>
      </c>
      <c r="I448">
        <f>-800.00</f>
        <v/>
      </c>
      <c r="J448">
        <f>6400.00</f>
        <v/>
      </c>
    </row>
    <row r="449">
      <c r="B449" t="inlineStr">
        <is>
          <t>07/31/2025</t>
        </is>
      </c>
      <c r="C449" t="inlineStr">
        <is>
          <t>Journal Entry</t>
        </is>
      </c>
      <c r="D449" t="inlineStr">
        <is>
          <t>JE-1030</t>
        </is>
      </c>
      <c r="E449" t="inlineStr">
        <is>
          <t>Tailspin Tools</t>
        </is>
      </c>
      <c r="F449" t="inlineStr">
        <is>
          <t>Software 2025-07</t>
        </is>
      </c>
      <c r="H449" t="inlineStr">
        <is>
          <t>6200 Software Subscriptions</t>
        </is>
      </c>
      <c r="I449">
        <f>-800.00</f>
        <v/>
      </c>
      <c r="J449">
        <f>5600.00</f>
        <v/>
      </c>
    </row>
    <row r="450">
      <c r="B450" t="inlineStr">
        <is>
          <t>08/31/2025</t>
        </is>
      </c>
      <c r="C450" t="inlineStr">
        <is>
          <t>Journal Entry</t>
        </is>
      </c>
      <c r="D450" t="inlineStr">
        <is>
          <t>JE-1034</t>
        </is>
      </c>
      <c r="E450" t="inlineStr">
        <is>
          <t>Tailspin Tools</t>
        </is>
      </c>
      <c r="F450" t="inlineStr">
        <is>
          <t>Software 2025-08</t>
        </is>
      </c>
      <c r="H450" t="inlineStr">
        <is>
          <t>6200 Software Subscriptions</t>
        </is>
      </c>
      <c r="I450">
        <f>-800.00</f>
        <v/>
      </c>
      <c r="J450">
        <f>4800.00</f>
        <v/>
      </c>
    </row>
    <row r="451">
      <c r="A451" t="inlineStr">
        <is>
          <t>Total for 1310 Prepaid Software</t>
        </is>
      </c>
      <c r="I451">
        <f>4800.00</f>
        <v/>
      </c>
    </row>
    <row r="452"/>
    <row r="453">
      <c r="A453" t="inlineStr">
        <is>
          <t>1500 Machinery and Equipment</t>
        </is>
      </c>
    </row>
    <row r="454">
      <c r="G454" t="inlineStr">
        <is>
          <t>Beginning Balance</t>
        </is>
      </c>
      <c r="J454">
        <f>0.00</f>
        <v/>
      </c>
    </row>
    <row r="455">
      <c r="B455" t="inlineStr">
        <is>
          <t>02/10/2025</t>
        </is>
      </c>
      <c r="C455" t="inlineStr">
        <is>
          <t>Check</t>
        </is>
      </c>
      <c r="D455" t="inlineStr"/>
      <c r="E455" t="inlineStr">
        <is>
          <t>Precision Machine Works</t>
        </is>
      </c>
      <c r="F455" t="inlineStr">
        <is>
          <t>CNC cell, 5-year life, in service 2025-02-10</t>
        </is>
      </c>
      <c r="H455" t="inlineStr">
        <is>
          <t>1010 Northgate Checking 7742</t>
        </is>
      </c>
      <c r="I455">
        <f>48000.00</f>
        <v/>
      </c>
      <c r="J455">
        <f>48000.00</f>
        <v/>
      </c>
    </row>
    <row r="456">
      <c r="A456" t="inlineStr">
        <is>
          <t>Total for 1500 Machinery and Equipment</t>
        </is>
      </c>
      <c r="I456">
        <f>48000.00</f>
        <v/>
      </c>
    </row>
    <row r="457"/>
    <row r="458">
      <c r="A458" t="inlineStr">
        <is>
          <t>1510 Accumulated Depreciation</t>
        </is>
      </c>
    </row>
    <row r="459">
      <c r="G459" t="inlineStr">
        <is>
          <t>Beginning Balance</t>
        </is>
      </c>
      <c r="J459">
        <f>0.00</f>
        <v/>
      </c>
    </row>
    <row r="460">
      <c r="B460" t="inlineStr">
        <is>
          <t>02/28/2025</t>
        </is>
      </c>
      <c r="C460" t="inlineStr">
        <is>
          <t>Journal Entry</t>
        </is>
      </c>
      <c r="D460" t="inlineStr">
        <is>
          <t>JE-1008</t>
        </is>
      </c>
      <c r="E460" t="inlineStr"/>
      <c r="F460" t="inlineStr">
        <is>
          <t>Depreciation 2025-02</t>
        </is>
      </c>
      <c r="H460" t="inlineStr">
        <is>
          <t>7000 Depreciation Expense</t>
        </is>
      </c>
      <c r="I460">
        <f>-800.00</f>
        <v/>
      </c>
      <c r="J460">
        <f>-800.00</f>
        <v/>
      </c>
    </row>
    <row r="461">
      <c r="B461" t="inlineStr">
        <is>
          <t>03/31/2025</t>
        </is>
      </c>
      <c r="C461" t="inlineStr">
        <is>
          <t>Journal Entry</t>
        </is>
      </c>
      <c r="D461" t="inlineStr">
        <is>
          <t>JE-1013</t>
        </is>
      </c>
      <c r="E461" t="inlineStr"/>
      <c r="F461" t="inlineStr">
        <is>
          <t>Depreciation 2025-03</t>
        </is>
      </c>
      <c r="H461" t="inlineStr">
        <is>
          <t>7000 Depreciation Expense</t>
        </is>
      </c>
      <c r="I461">
        <f>-800.00</f>
        <v/>
      </c>
      <c r="J461">
        <f>-1600.00</f>
        <v/>
      </c>
    </row>
    <row r="462">
      <c r="B462" t="inlineStr">
        <is>
          <t>04/30/2025</t>
        </is>
      </c>
      <c r="C462" t="inlineStr">
        <is>
          <t>Journal Entry</t>
        </is>
      </c>
      <c r="D462" t="inlineStr">
        <is>
          <t>JE-1018</t>
        </is>
      </c>
      <c r="E462" t="inlineStr"/>
      <c r="F462" t="inlineStr">
        <is>
          <t>Depreciation 2025-04</t>
        </is>
      </c>
      <c r="H462" t="inlineStr">
        <is>
          <t>7000 Depreciation Expense</t>
        </is>
      </c>
      <c r="I462">
        <f>-800.00</f>
        <v/>
      </c>
      <c r="J462">
        <f>-2400.00</f>
        <v/>
      </c>
    </row>
    <row r="463">
      <c r="B463" t="inlineStr">
        <is>
          <t>05/31/2025</t>
        </is>
      </c>
      <c r="C463" t="inlineStr">
        <is>
          <t>Journal Entry</t>
        </is>
      </c>
      <c r="D463" t="inlineStr">
        <is>
          <t>JE-1023</t>
        </is>
      </c>
      <c r="E463" t="inlineStr"/>
      <c r="F463" t="inlineStr">
        <is>
          <t>Depreciation 2025-05</t>
        </is>
      </c>
      <c r="H463" t="inlineStr">
        <is>
          <t>7000 Depreciation Expense</t>
        </is>
      </c>
      <c r="I463">
        <f>-800.00</f>
        <v/>
      </c>
      <c r="J463">
        <f>-3200.00</f>
        <v/>
      </c>
    </row>
    <row r="464">
      <c r="B464" t="inlineStr">
        <is>
          <t>06/30/2025</t>
        </is>
      </c>
      <c r="C464" t="inlineStr">
        <is>
          <t>Journal Entry</t>
        </is>
      </c>
      <c r="D464" t="inlineStr">
        <is>
          <t>JE-1028</t>
        </is>
      </c>
      <c r="E464" t="inlineStr"/>
      <c r="F464" t="inlineStr">
        <is>
          <t>Depreciation 2025-06</t>
        </is>
      </c>
      <c r="H464" t="inlineStr">
        <is>
          <t>7000 Depreciation Expense</t>
        </is>
      </c>
      <c r="I464">
        <f>-800.00</f>
        <v/>
      </c>
      <c r="J464">
        <f>-4000.00</f>
        <v/>
      </c>
    </row>
    <row r="465">
      <c r="B465" t="inlineStr">
        <is>
          <t>07/31/2025</t>
        </is>
      </c>
      <c r="C465" t="inlineStr">
        <is>
          <t>Journal Entry</t>
        </is>
      </c>
      <c r="D465" t="inlineStr">
        <is>
          <t>JE-1032</t>
        </is>
      </c>
      <c r="E465" t="inlineStr"/>
      <c r="F465" t="inlineStr">
        <is>
          <t>Depreciation 2025-07</t>
        </is>
      </c>
      <c r="H465" t="inlineStr">
        <is>
          <t>7000 Depreciation Expense</t>
        </is>
      </c>
      <c r="I465">
        <f>-800.00</f>
        <v/>
      </c>
      <c r="J465">
        <f>-4800.00</f>
        <v/>
      </c>
    </row>
    <row r="466">
      <c r="B466" t="inlineStr">
        <is>
          <t>08/31/2025</t>
        </is>
      </c>
      <c r="C466" t="inlineStr">
        <is>
          <t>Journal Entry</t>
        </is>
      </c>
      <c r="D466" t="inlineStr">
        <is>
          <t>JE-1035</t>
        </is>
      </c>
      <c r="E466" t="inlineStr"/>
      <c r="F466" t="inlineStr">
        <is>
          <t>Depreciation 2025-08</t>
        </is>
      </c>
      <c r="H466" t="inlineStr">
        <is>
          <t>7000 Depreciation Expense</t>
        </is>
      </c>
      <c r="I466">
        <f>-800.00</f>
        <v/>
      </c>
      <c r="J466">
        <f>-5600.00</f>
        <v/>
      </c>
    </row>
    <row r="467">
      <c r="B467" t="inlineStr">
        <is>
          <t>09/30/2025</t>
        </is>
      </c>
      <c r="C467" t="inlineStr">
        <is>
          <t>Journal Entry</t>
        </is>
      </c>
      <c r="D467" t="inlineStr">
        <is>
          <t>JE-1036</t>
        </is>
      </c>
      <c r="E467" t="inlineStr"/>
      <c r="F467" t="inlineStr">
        <is>
          <t>Depreciation 2025-09</t>
        </is>
      </c>
      <c r="H467" t="inlineStr">
        <is>
          <t>7000 Depreciation Expense</t>
        </is>
      </c>
      <c r="I467">
        <f>-800.00</f>
        <v/>
      </c>
      <c r="J467">
        <f>-6400.00</f>
        <v/>
      </c>
    </row>
    <row r="468">
      <c r="B468" t="inlineStr">
        <is>
          <t>10/31/2025</t>
        </is>
      </c>
      <c r="C468" t="inlineStr">
        <is>
          <t>Journal Entry</t>
        </is>
      </c>
      <c r="D468" t="inlineStr">
        <is>
          <t>JE-1041</t>
        </is>
      </c>
      <c r="E468" t="inlineStr"/>
      <c r="F468" t="inlineStr">
        <is>
          <t>Depreciation 2025-10</t>
        </is>
      </c>
      <c r="H468" t="inlineStr">
        <is>
          <t>7000 Depreciation Expense</t>
        </is>
      </c>
      <c r="I468">
        <f>-800.00</f>
        <v/>
      </c>
      <c r="J468">
        <f>-7200.00</f>
        <v/>
      </c>
    </row>
    <row r="469">
      <c r="B469" t="inlineStr">
        <is>
          <t>11/30/2025</t>
        </is>
      </c>
      <c r="C469" t="inlineStr">
        <is>
          <t>Journal Entry</t>
        </is>
      </c>
      <c r="D469" t="inlineStr">
        <is>
          <t>JE-1046</t>
        </is>
      </c>
      <c r="E469" t="inlineStr"/>
      <c r="F469" t="inlineStr">
        <is>
          <t>Depreciation 2025-11</t>
        </is>
      </c>
      <c r="H469" t="inlineStr">
        <is>
          <t>7000 Depreciation Expense</t>
        </is>
      </c>
      <c r="I469">
        <f>-800.00</f>
        <v/>
      </c>
      <c r="J469">
        <f>-8000.00</f>
        <v/>
      </c>
    </row>
    <row r="470">
      <c r="B470" t="inlineStr">
        <is>
          <t>12/31/2025</t>
        </is>
      </c>
      <c r="C470" t="inlineStr">
        <is>
          <t>Journal Entry</t>
        </is>
      </c>
      <c r="D470" t="inlineStr">
        <is>
          <t>JE-1051</t>
        </is>
      </c>
      <c r="E470" t="inlineStr"/>
      <c r="F470" t="inlineStr">
        <is>
          <t>Depreciation 2025-12</t>
        </is>
      </c>
      <c r="H470" t="inlineStr">
        <is>
          <t>7000 Depreciation Expense</t>
        </is>
      </c>
      <c r="I470">
        <f>-800.00</f>
        <v/>
      </c>
      <c r="J470">
        <f>-8800.00</f>
        <v/>
      </c>
    </row>
    <row r="471">
      <c r="A471" t="inlineStr">
        <is>
          <t>Total for 1510 Accumulated Depreciation</t>
        </is>
      </c>
      <c r="I471">
        <f>-8800.00</f>
        <v/>
      </c>
    </row>
    <row r="472"/>
    <row r="473">
      <c r="A473" t="inlineStr">
        <is>
          <t>1600 Intangible Assets - Design License</t>
        </is>
      </c>
    </row>
    <row r="474">
      <c r="G474" t="inlineStr">
        <is>
          <t>Beginning Balance</t>
        </is>
      </c>
      <c r="J474">
        <f>0.00</f>
        <v/>
      </c>
    </row>
    <row r="475">
      <c r="B475" t="inlineStr">
        <is>
          <t>01/15/2025</t>
        </is>
      </c>
      <c r="C475" t="inlineStr">
        <is>
          <t>Check</t>
        </is>
      </c>
      <c r="D475" t="inlineStr"/>
      <c r="E475" t="inlineStr">
        <is>
          <t>Orion Design Works</t>
        </is>
      </c>
      <c r="F475" t="inlineStr">
        <is>
          <t>Perpetual design license, 60-month life</t>
        </is>
      </c>
      <c r="H475" t="inlineStr">
        <is>
          <t>1010 Northgate Checking 7742</t>
        </is>
      </c>
      <c r="I475">
        <f>60000.00</f>
        <v/>
      </c>
      <c r="J475">
        <f>60000.00</f>
        <v/>
      </c>
    </row>
    <row r="476">
      <c r="A476" t="inlineStr">
        <is>
          <t>Total for 1600 Intangible Assets - Design License</t>
        </is>
      </c>
      <c r="I476">
        <f>60000.00</f>
        <v/>
      </c>
    </row>
    <row r="477"/>
    <row r="478">
      <c r="A478" t="inlineStr">
        <is>
          <t>1610 Accumulated Amortization - Design License</t>
        </is>
      </c>
    </row>
    <row r="479">
      <c r="G479" t="inlineStr">
        <is>
          <t>Beginning Balance</t>
        </is>
      </c>
      <c r="J479">
        <f>0.00</f>
        <v/>
      </c>
    </row>
    <row r="480">
      <c r="B480" t="inlineStr">
        <is>
          <t>01/31/2025</t>
        </is>
      </c>
      <c r="C480" t="inlineStr">
        <is>
          <t>Journal Entry</t>
        </is>
      </c>
      <c r="D480" t="inlineStr">
        <is>
          <t>JE-1004</t>
        </is>
      </c>
      <c r="E480" t="inlineStr">
        <is>
          <t>Orion Design Works</t>
        </is>
      </c>
      <c r="F480" t="inlineStr">
        <is>
          <t>Design license 2025-01</t>
        </is>
      </c>
      <c r="H480" t="inlineStr">
        <is>
          <t>7100 Amortization Expense</t>
        </is>
      </c>
      <c r="I480">
        <f>-1000.00</f>
        <v/>
      </c>
      <c r="J480">
        <f>-1000.00</f>
        <v/>
      </c>
    </row>
    <row r="481">
      <c r="B481" t="inlineStr">
        <is>
          <t>02/28/2025</t>
        </is>
      </c>
      <c r="C481" t="inlineStr">
        <is>
          <t>Journal Entry</t>
        </is>
      </c>
      <c r="D481" t="inlineStr">
        <is>
          <t>JE-1007</t>
        </is>
      </c>
      <c r="E481" t="inlineStr">
        <is>
          <t>Orion Design Works</t>
        </is>
      </c>
      <c r="F481" t="inlineStr">
        <is>
          <t>Design license 2025-02</t>
        </is>
      </c>
      <c r="H481" t="inlineStr">
        <is>
          <t>7100 Amortization Expense</t>
        </is>
      </c>
      <c r="I481">
        <f>-1000.00</f>
        <v/>
      </c>
      <c r="J481">
        <f>-2000.00</f>
        <v/>
      </c>
    </row>
    <row r="482">
      <c r="B482" t="inlineStr">
        <is>
          <t>03/31/2025</t>
        </is>
      </c>
      <c r="C482" t="inlineStr">
        <is>
          <t>Journal Entry</t>
        </is>
      </c>
      <c r="D482" t="inlineStr">
        <is>
          <t>JE-1012</t>
        </is>
      </c>
      <c r="E482" t="inlineStr">
        <is>
          <t>Orion Design Works</t>
        </is>
      </c>
      <c r="F482" t="inlineStr">
        <is>
          <t>Design license 2025-03</t>
        </is>
      </c>
      <c r="H482" t="inlineStr">
        <is>
          <t>7100 Amortization Expense</t>
        </is>
      </c>
      <c r="I482">
        <f>-1000.00</f>
        <v/>
      </c>
      <c r="J482">
        <f>-3000.00</f>
        <v/>
      </c>
    </row>
    <row r="483">
      <c r="B483" t="inlineStr">
        <is>
          <t>04/30/2025</t>
        </is>
      </c>
      <c r="C483" t="inlineStr">
        <is>
          <t>Journal Entry</t>
        </is>
      </c>
      <c r="D483" t="inlineStr">
        <is>
          <t>JE-1017</t>
        </is>
      </c>
      <c r="E483" t="inlineStr">
        <is>
          <t>Orion Design Works</t>
        </is>
      </c>
      <c r="F483" t="inlineStr">
        <is>
          <t>Design license 2025-04</t>
        </is>
      </c>
      <c r="H483" t="inlineStr">
        <is>
          <t>7100 Amortization Expense</t>
        </is>
      </c>
      <c r="I483">
        <f>-1000.00</f>
        <v/>
      </c>
      <c r="J483">
        <f>-4000.00</f>
        <v/>
      </c>
    </row>
    <row r="484">
      <c r="B484" t="inlineStr">
        <is>
          <t>05/31/2025</t>
        </is>
      </c>
      <c r="C484" t="inlineStr">
        <is>
          <t>Journal Entry</t>
        </is>
      </c>
      <c r="D484" t="inlineStr">
        <is>
          <t>JE-1022</t>
        </is>
      </c>
      <c r="E484" t="inlineStr">
        <is>
          <t>Orion Design Works</t>
        </is>
      </c>
      <c r="F484" t="inlineStr">
        <is>
          <t>Design license 2025-05</t>
        </is>
      </c>
      <c r="H484" t="inlineStr">
        <is>
          <t>7100 Amortization Expense</t>
        </is>
      </c>
      <c r="I484">
        <f>-1000.00</f>
        <v/>
      </c>
      <c r="J484">
        <f>-5000.00</f>
        <v/>
      </c>
    </row>
    <row r="485">
      <c r="B485" t="inlineStr">
        <is>
          <t>06/30/2025</t>
        </is>
      </c>
      <c r="C485" t="inlineStr">
        <is>
          <t>Journal Entry</t>
        </is>
      </c>
      <c r="D485" t="inlineStr">
        <is>
          <t>JE-1027</t>
        </is>
      </c>
      <c r="E485" t="inlineStr">
        <is>
          <t>Orion Design Works</t>
        </is>
      </c>
      <c r="F485" t="inlineStr">
        <is>
          <t>Design license 2025-06</t>
        </is>
      </c>
      <c r="H485" t="inlineStr">
        <is>
          <t>7100 Amortization Expense</t>
        </is>
      </c>
      <c r="I485">
        <f>-1000.00</f>
        <v/>
      </c>
      <c r="J485">
        <f>-6000.00</f>
        <v/>
      </c>
    </row>
    <row r="486">
      <c r="B486" t="inlineStr">
        <is>
          <t>07/31/2025</t>
        </is>
      </c>
      <c r="C486" t="inlineStr">
        <is>
          <t>Journal Entry</t>
        </is>
      </c>
      <c r="D486" t="inlineStr">
        <is>
          <t>JE-1031</t>
        </is>
      </c>
      <c r="E486" t="inlineStr">
        <is>
          <t>Orion Design Works</t>
        </is>
      </c>
      <c r="F486" t="inlineStr">
        <is>
          <t>Design license 2025-07</t>
        </is>
      </c>
      <c r="H486" t="inlineStr">
        <is>
          <t>7100 Amortization Expense</t>
        </is>
      </c>
      <c r="I486">
        <f>-1000.00</f>
        <v/>
      </c>
      <c r="J486">
        <f>-7000.00</f>
        <v/>
      </c>
    </row>
    <row r="487">
      <c r="A487" t="inlineStr">
        <is>
          <t>Total for 1610 Accumulated Amortization - Design License</t>
        </is>
      </c>
      <c r="I487">
        <f>-7000.00</f>
        <v/>
      </c>
    </row>
    <row r="488"/>
    <row r="489">
      <c r="A489" t="inlineStr">
        <is>
          <t>2010 Accounts Payable</t>
        </is>
      </c>
    </row>
    <row r="490">
      <c r="G490" t="inlineStr">
        <is>
          <t>Beginning Balance</t>
        </is>
      </c>
      <c r="J490">
        <f>0.00</f>
        <v/>
      </c>
    </row>
    <row r="491">
      <c r="B491" t="inlineStr">
        <is>
          <t>01/20/2025</t>
        </is>
      </c>
      <c r="C491" t="inlineStr">
        <is>
          <t>Bill</t>
        </is>
      </c>
      <c r="D491" t="inlineStr">
        <is>
          <t>NWS-4400</t>
        </is>
      </c>
      <c r="E491" t="inlineStr">
        <is>
          <t>Northwind Supply</t>
        </is>
      </c>
      <c r="F491" t="inlineStr">
        <is>
          <t>NWS-4400 components</t>
        </is>
      </c>
      <c r="H491" t="inlineStr">
        <is>
          <t>5000 Cost of Goods Sold - Components</t>
        </is>
      </c>
      <c r="I491">
        <f>9231.03</f>
        <v/>
      </c>
      <c r="J491">
        <f>9231.03</f>
        <v/>
      </c>
    </row>
    <row r="492">
      <c r="B492" t="inlineStr">
        <is>
          <t>02/12/2025</t>
        </is>
      </c>
      <c r="C492" t="inlineStr">
        <is>
          <t>Bill Payment</t>
        </is>
      </c>
      <c r="D492" t="inlineStr"/>
      <c r="E492" t="inlineStr">
        <is>
          <t>Northwind Supply</t>
        </is>
      </c>
      <c r="F492" t="inlineStr">
        <is>
          <t>Payment on NWS-4400</t>
        </is>
      </c>
      <c r="H492" t="inlineStr">
        <is>
          <t>1010 Northgate Checking 7742</t>
        </is>
      </c>
      <c r="I492">
        <f>-9231.03</f>
        <v/>
      </c>
      <c r="J492">
        <f>0.00</f>
        <v/>
      </c>
    </row>
    <row r="493">
      <c r="B493" t="inlineStr">
        <is>
          <t>02/20/2025</t>
        </is>
      </c>
      <c r="C493" t="inlineStr">
        <is>
          <t>Bill</t>
        </is>
      </c>
      <c r="D493" t="inlineStr">
        <is>
          <t>NWS-4401</t>
        </is>
      </c>
      <c r="E493" t="inlineStr">
        <is>
          <t>Northwind Supply</t>
        </is>
      </c>
      <c r="F493" t="inlineStr">
        <is>
          <t>NWS-4401 components</t>
        </is>
      </c>
      <c r="H493" t="inlineStr">
        <is>
          <t>5000 Cost of Goods Sold - Components</t>
        </is>
      </c>
      <c r="I493">
        <f>10151.29</f>
        <v/>
      </c>
      <c r="J493">
        <f>10151.29</f>
        <v/>
      </c>
    </row>
    <row r="494">
      <c r="B494" t="inlineStr">
        <is>
          <t>03/12/2025</t>
        </is>
      </c>
      <c r="C494" t="inlineStr">
        <is>
          <t>Bill Payment</t>
        </is>
      </c>
      <c r="D494" t="inlineStr"/>
      <c r="E494" t="inlineStr">
        <is>
          <t>Northwind Supply</t>
        </is>
      </c>
      <c r="F494" t="inlineStr">
        <is>
          <t>Payment on NWS-4401</t>
        </is>
      </c>
      <c r="H494" t="inlineStr">
        <is>
          <t>1010 Northgate Checking 7742</t>
        </is>
      </c>
      <c r="I494">
        <f>-10151.29</f>
        <v/>
      </c>
      <c r="J494">
        <f>0.00</f>
        <v/>
      </c>
    </row>
    <row r="495">
      <c r="B495" t="inlineStr">
        <is>
          <t>03/20/2025</t>
        </is>
      </c>
      <c r="C495" t="inlineStr">
        <is>
          <t>Bill</t>
        </is>
      </c>
      <c r="D495" t="inlineStr">
        <is>
          <t>NWS-4402</t>
        </is>
      </c>
      <c r="E495" t="inlineStr">
        <is>
          <t>Northwind Supply</t>
        </is>
      </c>
      <c r="F495" t="inlineStr">
        <is>
          <t>NWS-4402 components</t>
        </is>
      </c>
      <c r="H495" t="inlineStr">
        <is>
          <t>5000 Cost of Goods Sold - Components</t>
        </is>
      </c>
      <c r="I495">
        <f>9794.01</f>
        <v/>
      </c>
      <c r="J495">
        <f>9794.01</f>
        <v/>
      </c>
    </row>
    <row r="496">
      <c r="B496" t="inlineStr">
        <is>
          <t>04/12/2025</t>
        </is>
      </c>
      <c r="C496" t="inlineStr">
        <is>
          <t>Bill Payment</t>
        </is>
      </c>
      <c r="D496" t="inlineStr"/>
      <c r="E496" t="inlineStr">
        <is>
          <t>Northwind Supply</t>
        </is>
      </c>
      <c r="F496" t="inlineStr">
        <is>
          <t>Payment on NWS-4402</t>
        </is>
      </c>
      <c r="H496" t="inlineStr">
        <is>
          <t>1010 Northgate Checking 7742</t>
        </is>
      </c>
      <c r="I496">
        <f>-9794.01</f>
        <v/>
      </c>
      <c r="J496">
        <f>0.00</f>
        <v/>
      </c>
    </row>
    <row r="497">
      <c r="B497" t="inlineStr">
        <is>
          <t>04/20/2025</t>
        </is>
      </c>
      <c r="C497" t="inlineStr">
        <is>
          <t>Bill</t>
        </is>
      </c>
      <c r="D497" t="inlineStr">
        <is>
          <t>NWS-4403</t>
        </is>
      </c>
      <c r="E497" t="inlineStr">
        <is>
          <t>Northwind Supply</t>
        </is>
      </c>
      <c r="F497" t="inlineStr">
        <is>
          <t>NWS-4403 components</t>
        </is>
      </c>
      <c r="H497" t="inlineStr">
        <is>
          <t>5000 Cost of Goods Sold - Components</t>
        </is>
      </c>
      <c r="I497">
        <f>10628.94</f>
        <v/>
      </c>
      <c r="J497">
        <f>10628.94</f>
        <v/>
      </c>
    </row>
    <row r="498">
      <c r="B498" t="inlineStr">
        <is>
          <t>05/12/2025</t>
        </is>
      </c>
      <c r="C498" t="inlineStr">
        <is>
          <t>Bill Payment</t>
        </is>
      </c>
      <c r="D498" t="inlineStr"/>
      <c r="E498" t="inlineStr">
        <is>
          <t>Northwind Supply</t>
        </is>
      </c>
      <c r="F498" t="inlineStr">
        <is>
          <t>Payment on NWS-4403</t>
        </is>
      </c>
      <c r="H498" t="inlineStr">
        <is>
          <t>1010 Northgate Checking 7742</t>
        </is>
      </c>
      <c r="I498">
        <f>-10628.94</f>
        <v/>
      </c>
      <c r="J498">
        <f>0.00</f>
        <v/>
      </c>
    </row>
    <row r="499">
      <c r="B499" t="inlineStr">
        <is>
          <t>05/20/2025</t>
        </is>
      </c>
      <c r="C499" t="inlineStr">
        <is>
          <t>Bill</t>
        </is>
      </c>
      <c r="D499" t="inlineStr">
        <is>
          <t>NWS-4404</t>
        </is>
      </c>
      <c r="E499" t="inlineStr">
        <is>
          <t>Northwind Supply</t>
        </is>
      </c>
      <c r="F499" t="inlineStr">
        <is>
          <t>NWS-4404 components</t>
        </is>
      </c>
      <c r="H499" t="inlineStr">
        <is>
          <t>5000 Cost of Goods Sold - Components</t>
        </is>
      </c>
      <c r="I499">
        <f>11122.53</f>
        <v/>
      </c>
      <c r="J499">
        <f>11122.53</f>
        <v/>
      </c>
    </row>
    <row r="500">
      <c r="B500" t="inlineStr">
        <is>
          <t>06/12/2025</t>
        </is>
      </c>
      <c r="C500" t="inlineStr">
        <is>
          <t>Bill Payment</t>
        </is>
      </c>
      <c r="D500" t="inlineStr"/>
      <c r="E500" t="inlineStr">
        <is>
          <t>Northwind Supply</t>
        </is>
      </c>
      <c r="F500" t="inlineStr">
        <is>
          <t>Payment on NWS-4404</t>
        </is>
      </c>
      <c r="H500" t="inlineStr">
        <is>
          <t>1010 Northgate Checking 7742</t>
        </is>
      </c>
      <c r="I500">
        <f>-11122.53</f>
        <v/>
      </c>
      <c r="J500">
        <f>0.00</f>
        <v/>
      </c>
    </row>
    <row r="501">
      <c r="B501" t="inlineStr">
        <is>
          <t>06/20/2025</t>
        </is>
      </c>
      <c r="C501" t="inlineStr">
        <is>
          <t>Bill</t>
        </is>
      </c>
      <c r="D501" t="inlineStr">
        <is>
          <t>NWS-4405</t>
        </is>
      </c>
      <c r="E501" t="inlineStr">
        <is>
          <t>Northwind Supply</t>
        </is>
      </c>
      <c r="F501" t="inlineStr">
        <is>
          <t>NWS-4405 components</t>
        </is>
      </c>
      <c r="H501" t="inlineStr">
        <is>
          <t>5000 Cost of Goods Sold - Components</t>
        </is>
      </c>
      <c r="I501">
        <f>12296.55</f>
        <v/>
      </c>
      <c r="J501">
        <f>12296.55</f>
        <v/>
      </c>
    </row>
    <row r="502">
      <c r="B502" t="inlineStr">
        <is>
          <t>07/12/2025</t>
        </is>
      </c>
      <c r="C502" t="inlineStr">
        <is>
          <t>Bill Payment</t>
        </is>
      </c>
      <c r="D502" t="inlineStr"/>
      <c r="E502" t="inlineStr">
        <is>
          <t>Northwind Supply</t>
        </is>
      </c>
      <c r="F502" t="inlineStr">
        <is>
          <t>Payment on NWS-4405</t>
        </is>
      </c>
      <c r="H502" t="inlineStr">
        <is>
          <t>1010 Northgate Checking 7742</t>
        </is>
      </c>
      <c r="I502">
        <f>-12296.55</f>
        <v/>
      </c>
      <c r="J502">
        <f>0.00</f>
        <v/>
      </c>
    </row>
    <row r="503">
      <c r="B503" t="inlineStr">
        <is>
          <t>07/20/2025</t>
        </is>
      </c>
      <c r="C503" t="inlineStr">
        <is>
          <t>Bill</t>
        </is>
      </c>
      <c r="D503" t="inlineStr">
        <is>
          <t>NWS-4406</t>
        </is>
      </c>
      <c r="E503" t="inlineStr">
        <is>
          <t>Northwind Supply</t>
        </is>
      </c>
      <c r="F503" t="inlineStr">
        <is>
          <t>NWS-4406 components</t>
        </is>
      </c>
      <c r="H503" t="inlineStr">
        <is>
          <t>5000 Cost of Goods Sold - Components</t>
        </is>
      </c>
      <c r="I503">
        <f>12857.68</f>
        <v/>
      </c>
      <c r="J503">
        <f>12857.68</f>
        <v/>
      </c>
    </row>
    <row r="504">
      <c r="B504" t="inlineStr">
        <is>
          <t>08/12/2025</t>
        </is>
      </c>
      <c r="C504" t="inlineStr">
        <is>
          <t>Bill Payment</t>
        </is>
      </c>
      <c r="D504" t="inlineStr"/>
      <c r="E504" t="inlineStr">
        <is>
          <t>Northwind Supply</t>
        </is>
      </c>
      <c r="F504" t="inlineStr">
        <is>
          <t>Payment on NWS-4406</t>
        </is>
      </c>
      <c r="H504" t="inlineStr">
        <is>
          <t>1010 Northgate Checking 7742</t>
        </is>
      </c>
      <c r="I504">
        <f>-12857.68</f>
        <v/>
      </c>
      <c r="J504">
        <f>0.00</f>
        <v/>
      </c>
    </row>
    <row r="505">
      <c r="B505" t="inlineStr">
        <is>
          <t>08/20/2025</t>
        </is>
      </c>
      <c r="C505" t="inlineStr">
        <is>
          <t>Bill</t>
        </is>
      </c>
      <c r="D505" t="inlineStr">
        <is>
          <t>NWS-4407</t>
        </is>
      </c>
      <c r="E505" t="inlineStr">
        <is>
          <t>Northwind Supply</t>
        </is>
      </c>
      <c r="F505" t="inlineStr">
        <is>
          <t>NWS-4407 components</t>
        </is>
      </c>
      <c r="H505" t="inlineStr">
        <is>
          <t>5000 Cost of Goods Sold - Components</t>
        </is>
      </c>
      <c r="I505">
        <f>13791.23</f>
        <v/>
      </c>
      <c r="J505">
        <f>13791.23</f>
        <v/>
      </c>
    </row>
    <row r="506">
      <c r="B506" t="inlineStr">
        <is>
          <t>09/12/2025</t>
        </is>
      </c>
      <c r="C506" t="inlineStr">
        <is>
          <t>Bill Payment</t>
        </is>
      </c>
      <c r="D506" t="inlineStr"/>
      <c r="E506" t="inlineStr">
        <is>
          <t>Northwind Supply</t>
        </is>
      </c>
      <c r="F506" t="inlineStr">
        <is>
          <t>Payment on NWS-4407</t>
        </is>
      </c>
      <c r="H506" t="inlineStr">
        <is>
          <t>1010 Northgate Checking 7742</t>
        </is>
      </c>
      <c r="I506">
        <f>-13791.23</f>
        <v/>
      </c>
      <c r="J506">
        <f>0.00</f>
        <v/>
      </c>
    </row>
    <row r="507">
      <c r="B507" t="inlineStr">
        <is>
          <t>09/20/2025</t>
        </is>
      </c>
      <c r="C507" t="inlineStr">
        <is>
          <t>Bill</t>
        </is>
      </c>
      <c r="D507" t="inlineStr">
        <is>
          <t>NWS-4408</t>
        </is>
      </c>
      <c r="E507" t="inlineStr">
        <is>
          <t>Northwind Supply</t>
        </is>
      </c>
      <c r="F507" t="inlineStr">
        <is>
          <t>NWS-4408 components</t>
        </is>
      </c>
      <c r="H507" t="inlineStr">
        <is>
          <t>5000 Cost of Goods Sold - Components</t>
        </is>
      </c>
      <c r="I507">
        <f>13804.57</f>
        <v/>
      </c>
      <c r="J507">
        <f>13804.57</f>
        <v/>
      </c>
    </row>
    <row r="508">
      <c r="B508" t="inlineStr">
        <is>
          <t>10/20/2025</t>
        </is>
      </c>
      <c r="C508" t="inlineStr">
        <is>
          <t>Bill</t>
        </is>
      </c>
      <c r="D508" t="inlineStr">
        <is>
          <t>NWS-4409</t>
        </is>
      </c>
      <c r="E508" t="inlineStr">
        <is>
          <t>Northwind Supply</t>
        </is>
      </c>
      <c r="F508" t="inlineStr">
        <is>
          <t>NWS-4409 components</t>
        </is>
      </c>
      <c r="H508" t="inlineStr">
        <is>
          <t>5000 Cost of Goods Sold - Components</t>
        </is>
      </c>
      <c r="I508">
        <f>14771.05</f>
        <v/>
      </c>
      <c r="J508">
        <f>28575.62</f>
        <v/>
      </c>
    </row>
    <row r="509">
      <c r="B509" t="inlineStr">
        <is>
          <t>11/20/2025</t>
        </is>
      </c>
      <c r="C509" t="inlineStr">
        <is>
          <t>Bill</t>
        </is>
      </c>
      <c r="D509" t="inlineStr">
        <is>
          <t>NWS-4410</t>
        </is>
      </c>
      <c r="E509" t="inlineStr">
        <is>
          <t>Northwind Supply</t>
        </is>
      </c>
      <c r="F509" t="inlineStr">
        <is>
          <t>NWS-4410 components</t>
        </is>
      </c>
      <c r="H509" t="inlineStr">
        <is>
          <t>5000 Cost of Goods Sold - Components</t>
        </is>
      </c>
      <c r="I509">
        <f>15288.41</f>
        <v/>
      </c>
      <c r="J509">
        <f>43864.03</f>
        <v/>
      </c>
    </row>
    <row r="510">
      <c r="B510" t="inlineStr">
        <is>
          <t>12/20/2025</t>
        </is>
      </c>
      <c r="C510" t="inlineStr">
        <is>
          <t>Bill</t>
        </is>
      </c>
      <c r="D510" t="inlineStr">
        <is>
          <t>NWS-4411</t>
        </is>
      </c>
      <c r="E510" t="inlineStr">
        <is>
          <t>Northwind Supply</t>
        </is>
      </c>
      <c r="F510" t="inlineStr">
        <is>
          <t>NWS-4411 components</t>
        </is>
      </c>
      <c r="H510" t="inlineStr">
        <is>
          <t>5000 Cost of Goods Sold - Components</t>
        </is>
      </c>
      <c r="I510">
        <f>15930.57</f>
        <v/>
      </c>
      <c r="J510">
        <f>59794.60</f>
        <v/>
      </c>
    </row>
    <row r="511">
      <c r="A511" t="inlineStr">
        <is>
          <t>Total for 2010 Accounts Payable</t>
        </is>
      </c>
      <c r="I511">
        <f>59794.60</f>
        <v/>
      </c>
    </row>
    <row r="512"/>
    <row r="513">
      <c r="A513" t="inlineStr">
        <is>
          <t>2100 Vantage Card 3391</t>
        </is>
      </c>
    </row>
    <row r="514">
      <c r="G514" t="inlineStr">
        <is>
          <t>Beginning Balance</t>
        </is>
      </c>
      <c r="J514">
        <f>0.00</f>
        <v/>
      </c>
    </row>
    <row r="515">
      <c r="B515" t="inlineStr">
        <is>
          <t>01/01/2025</t>
        </is>
      </c>
      <c r="C515" t="inlineStr">
        <is>
          <t>Journal Entry</t>
        </is>
      </c>
      <c r="D515" t="inlineStr">
        <is>
          <t>JE-1001</t>
        </is>
      </c>
      <c r="E515" t="inlineStr"/>
      <c r="F515" t="inlineStr">
        <is>
          <t>Opening balance, Vantage Card 3391</t>
        </is>
      </c>
      <c r="H515" t="inlineStr">
        <is>
          <t>3200 Opening Balance Equity</t>
        </is>
      </c>
      <c r="I515">
        <f>4182.65</f>
        <v/>
      </c>
      <c r="J515">
        <f>4182.65</f>
        <v/>
      </c>
    </row>
    <row r="516">
      <c r="B516" t="inlineStr">
        <is>
          <t>01/04/2025</t>
        </is>
      </c>
      <c r="C516" t="inlineStr">
        <is>
          <t>Credit Card Charge</t>
        </is>
      </c>
      <c r="D516" t="inlineStr"/>
      <c r="E516" t="inlineStr">
        <is>
          <t>Contoso Cloud</t>
        </is>
      </c>
      <c r="F516" t="inlineStr">
        <is>
          <t>Cloud hosting 2025-01</t>
        </is>
      </c>
      <c r="H516" t="inlineStr">
        <is>
          <t>6300 Cloud Hosting</t>
        </is>
      </c>
      <c r="I516">
        <f>2400.00</f>
        <v/>
      </c>
      <c r="J516">
        <f>6582.65</f>
        <v/>
      </c>
    </row>
    <row r="517">
      <c r="B517" t="inlineStr">
        <is>
          <t>01/05/2025</t>
        </is>
      </c>
      <c r="C517" t="inlineStr">
        <is>
          <t>Expense</t>
        </is>
      </c>
      <c r="D517" t="inlineStr"/>
      <c r="E517" t="inlineStr">
        <is>
          <t>Vantage Card</t>
        </is>
      </c>
      <c r="F517" t="inlineStr">
        <is>
          <t>Vantage card payment</t>
        </is>
      </c>
      <c r="H517" t="inlineStr">
        <is>
          <t>1010 Northgate Checking 7742</t>
        </is>
      </c>
      <c r="I517">
        <f>-4182.65</f>
        <v/>
      </c>
      <c r="J517">
        <f>2400.00</f>
        <v/>
      </c>
    </row>
    <row r="518">
      <c r="B518" t="inlineStr">
        <is>
          <t>01/08/2025</t>
        </is>
      </c>
      <c r="C518" t="inlineStr">
        <is>
          <t>Credit Card Charge</t>
        </is>
      </c>
      <c r="D518" t="inlineStr"/>
      <c r="E518" t="inlineStr">
        <is>
          <t>Contoso Cloud</t>
        </is>
      </c>
      <c r="F518" t="inlineStr">
        <is>
          <t>Contoso Cloud 2025-01</t>
        </is>
      </c>
      <c r="H518" t="inlineStr">
        <is>
          <t>6300 Cloud Hosting</t>
        </is>
      </c>
      <c r="I518">
        <f>390.97</f>
        <v/>
      </c>
      <c r="J518">
        <f>2790.97</f>
        <v/>
      </c>
    </row>
    <row r="519">
      <c r="B519" t="inlineStr">
        <is>
          <t>01/16/2025</t>
        </is>
      </c>
      <c r="C519" t="inlineStr">
        <is>
          <t>Credit Card Charge</t>
        </is>
      </c>
      <c r="D519" t="inlineStr"/>
      <c r="E519" t="inlineStr">
        <is>
          <t>Lumina Ads</t>
        </is>
      </c>
      <c r="F519" t="inlineStr">
        <is>
          <t>Lumina Ads 2025-01</t>
        </is>
      </c>
      <c r="H519" t="inlineStr">
        <is>
          <t>6600 Marketing and Advertising</t>
        </is>
      </c>
      <c r="I519">
        <f>1138.72</f>
        <v/>
      </c>
      <c r="J519">
        <f>3929.69</f>
        <v/>
      </c>
    </row>
    <row r="520">
      <c r="B520" t="inlineStr">
        <is>
          <t>01/17/2025</t>
        </is>
      </c>
      <c r="C520" t="inlineStr">
        <is>
          <t>Credit Card Charge</t>
        </is>
      </c>
      <c r="D520" t="inlineStr"/>
      <c r="E520" t="inlineStr">
        <is>
          <t>Tailspin Tools</t>
        </is>
      </c>
      <c r="F520" t="inlineStr">
        <is>
          <t>Tailspin Tools 2025-01</t>
        </is>
      </c>
      <c r="H520" t="inlineStr">
        <is>
          <t>6200 Software Subscriptions</t>
        </is>
      </c>
      <c r="I520">
        <f>105.26</f>
        <v/>
      </c>
      <c r="J520">
        <f>4034.95</f>
        <v/>
      </c>
    </row>
    <row r="521">
      <c r="B521" t="inlineStr">
        <is>
          <t>01/18/2025</t>
        </is>
      </c>
      <c r="C521" t="inlineStr">
        <is>
          <t>Credit Card Charge</t>
        </is>
      </c>
      <c r="D521" t="inlineStr"/>
      <c r="E521" t="inlineStr">
        <is>
          <t>Cascade Office</t>
        </is>
      </c>
      <c r="F521" t="inlineStr">
        <is>
          <t>Cascade Office 2025-01</t>
        </is>
      </c>
      <c r="H521" t="inlineStr">
        <is>
          <t>6700 Office Supplies</t>
        </is>
      </c>
      <c r="I521">
        <f>173.16</f>
        <v/>
      </c>
      <c r="J521">
        <f>4208.11</f>
        <v/>
      </c>
    </row>
    <row r="522">
      <c r="B522" t="inlineStr">
        <is>
          <t>01/19/2025</t>
        </is>
      </c>
      <c r="C522" t="inlineStr">
        <is>
          <t>Credit Card Charge</t>
        </is>
      </c>
      <c r="D522" t="inlineStr"/>
      <c r="E522" t="inlineStr">
        <is>
          <t>Cascade Office</t>
        </is>
      </c>
      <c r="F522" t="inlineStr">
        <is>
          <t>Cascade Office 2025-01</t>
        </is>
      </c>
      <c r="H522" t="inlineStr">
        <is>
          <t>6700 Office Supplies</t>
        </is>
      </c>
      <c r="I522">
        <f>166.82</f>
        <v/>
      </c>
      <c r="J522">
        <f>4374.93</f>
        <v/>
      </c>
    </row>
    <row r="523">
      <c r="B523" t="inlineStr">
        <is>
          <t>01/22/2025</t>
        </is>
      </c>
      <c r="C523" t="inlineStr">
        <is>
          <t>Credit Card Charge</t>
        </is>
      </c>
      <c r="D523" t="inlineStr"/>
      <c r="E523" t="inlineStr">
        <is>
          <t>Fabrikam Freight</t>
        </is>
      </c>
      <c r="F523" t="inlineStr">
        <is>
          <t>Outbound freight 2025-01</t>
        </is>
      </c>
      <c r="H523" t="inlineStr">
        <is>
          <t>5100 Shipping and Freight</t>
        </is>
      </c>
      <c r="I523">
        <f>1527.03</f>
        <v/>
      </c>
      <c r="J523">
        <f>5901.96</f>
        <v/>
      </c>
    </row>
    <row r="524">
      <c r="B524" t="inlineStr">
        <is>
          <t>02/04/2025</t>
        </is>
      </c>
      <c r="C524" t="inlineStr">
        <is>
          <t>Credit Card Charge</t>
        </is>
      </c>
      <c r="D524" t="inlineStr"/>
      <c r="E524" t="inlineStr">
        <is>
          <t>Contoso Cloud</t>
        </is>
      </c>
      <c r="F524" t="inlineStr">
        <is>
          <t>Cloud hosting 2025-02</t>
        </is>
      </c>
      <c r="H524" t="inlineStr">
        <is>
          <t>6300 Cloud Hosting</t>
        </is>
      </c>
      <c r="I524">
        <f>2520.00</f>
        <v/>
      </c>
      <c r="J524">
        <f>8421.96</f>
        <v/>
      </c>
    </row>
    <row r="525">
      <c r="B525" t="inlineStr">
        <is>
          <t>02/04/2025</t>
        </is>
      </c>
      <c r="C525" t="inlineStr">
        <is>
          <t>Credit Card Charge</t>
        </is>
      </c>
      <c r="D525" t="inlineStr"/>
      <c r="E525" t="inlineStr">
        <is>
          <t>Skyward Air</t>
        </is>
      </c>
      <c r="F525" t="inlineStr">
        <is>
          <t>Skyward Air 2025-02</t>
        </is>
      </c>
      <c r="H525" t="inlineStr">
        <is>
          <t>6900 Travel and Meals</t>
        </is>
      </c>
      <c r="I525">
        <f>756.86</f>
        <v/>
      </c>
      <c r="J525">
        <f>9178.82</f>
        <v/>
      </c>
    </row>
    <row r="526">
      <c r="B526" t="inlineStr">
        <is>
          <t>02/05/2025</t>
        </is>
      </c>
      <c r="C526" t="inlineStr">
        <is>
          <t>Expense</t>
        </is>
      </c>
      <c r="D526" t="inlineStr"/>
      <c r="E526" t="inlineStr">
        <is>
          <t>Vantage Card</t>
        </is>
      </c>
      <c r="F526" t="inlineStr">
        <is>
          <t>Vantage card payment</t>
        </is>
      </c>
      <c r="H526" t="inlineStr">
        <is>
          <t>1010 Northgate Checking 7742</t>
        </is>
      </c>
      <c r="I526">
        <f>-5901.96</f>
        <v/>
      </c>
      <c r="J526">
        <f>3276.86</f>
        <v/>
      </c>
    </row>
    <row r="527">
      <c r="B527" t="inlineStr">
        <is>
          <t>02/12/2025</t>
        </is>
      </c>
      <c r="C527" t="inlineStr">
        <is>
          <t>Credit Card Charge</t>
        </is>
      </c>
      <c r="D527" t="inlineStr"/>
      <c r="E527" t="inlineStr">
        <is>
          <t>Cascade Office</t>
        </is>
      </c>
      <c r="F527" t="inlineStr">
        <is>
          <t>Cascade Office 2025-02</t>
        </is>
      </c>
      <c r="H527" t="inlineStr">
        <is>
          <t>6700 Office Supplies</t>
        </is>
      </c>
      <c r="I527">
        <f>324.36</f>
        <v/>
      </c>
      <c r="J527">
        <f>3601.22</f>
        <v/>
      </c>
    </row>
    <row r="528">
      <c r="B528" t="inlineStr">
        <is>
          <t>02/18/2025</t>
        </is>
      </c>
      <c r="C528" t="inlineStr">
        <is>
          <t>Credit Card Charge</t>
        </is>
      </c>
      <c r="D528" t="inlineStr"/>
      <c r="E528" t="inlineStr">
        <is>
          <t>Lumina Ads</t>
        </is>
      </c>
      <c r="F528" t="inlineStr">
        <is>
          <t>Lumina Ads 2025-02</t>
        </is>
      </c>
      <c r="H528" t="inlineStr">
        <is>
          <t>6600 Marketing and Advertising</t>
        </is>
      </c>
      <c r="I528">
        <f>2060.34</f>
        <v/>
      </c>
      <c r="J528">
        <f>5661.56</f>
        <v/>
      </c>
    </row>
    <row r="529">
      <c r="B529" t="inlineStr">
        <is>
          <t>02/20/2025</t>
        </is>
      </c>
      <c r="C529" t="inlineStr">
        <is>
          <t>Credit Card Charge</t>
        </is>
      </c>
      <c r="D529" t="inlineStr"/>
      <c r="E529" t="inlineStr">
        <is>
          <t>Tailspin Tools</t>
        </is>
      </c>
      <c r="F529" t="inlineStr">
        <is>
          <t>Tailspin Tools 2025-02</t>
        </is>
      </c>
      <c r="H529" t="inlineStr">
        <is>
          <t>6200 Software Subscriptions</t>
        </is>
      </c>
      <c r="I529">
        <f>121.30</f>
        <v/>
      </c>
      <c r="J529">
        <f>5782.86</f>
        <v/>
      </c>
    </row>
    <row r="530">
      <c r="B530" t="inlineStr">
        <is>
          <t>02/20/2025</t>
        </is>
      </c>
      <c r="C530" t="inlineStr">
        <is>
          <t>Credit Card Charge</t>
        </is>
      </c>
      <c r="D530" t="inlineStr"/>
      <c r="E530" t="inlineStr">
        <is>
          <t>Tailspin Tools</t>
        </is>
      </c>
      <c r="F530" t="inlineStr">
        <is>
          <t>Tailspin Tools 2025-02</t>
        </is>
      </c>
      <c r="H530" t="inlineStr">
        <is>
          <t>6200 Software Subscriptions</t>
        </is>
      </c>
      <c r="I530">
        <f>132.87</f>
        <v/>
      </c>
      <c r="J530">
        <f>5915.73</f>
        <v/>
      </c>
    </row>
    <row r="531">
      <c r="B531" t="inlineStr">
        <is>
          <t>02/22/2025</t>
        </is>
      </c>
      <c r="C531" t="inlineStr">
        <is>
          <t>Credit Card Charge</t>
        </is>
      </c>
      <c r="D531" t="inlineStr"/>
      <c r="E531" t="inlineStr">
        <is>
          <t>Fabrikam Freight</t>
        </is>
      </c>
      <c r="F531" t="inlineStr">
        <is>
          <t>Outbound freight 2025-02</t>
        </is>
      </c>
      <c r="H531" t="inlineStr">
        <is>
          <t>5100 Shipping and Freight</t>
        </is>
      </c>
      <c r="I531">
        <f>1411.83</f>
        <v/>
      </c>
      <c r="J531">
        <f>7327.56</f>
        <v/>
      </c>
    </row>
    <row r="532">
      <c r="B532" t="inlineStr">
        <is>
          <t>02/25/2025</t>
        </is>
      </c>
      <c r="C532" t="inlineStr">
        <is>
          <t>Credit Card Charge</t>
        </is>
      </c>
      <c r="D532" t="inlineStr"/>
      <c r="E532" t="inlineStr">
        <is>
          <t>Skyward Air</t>
        </is>
      </c>
      <c r="F532" t="inlineStr">
        <is>
          <t>Skyward Air 2025-02</t>
        </is>
      </c>
      <c r="H532" t="inlineStr">
        <is>
          <t>6900 Travel and Meals</t>
        </is>
      </c>
      <c r="I532">
        <f>921.15</f>
        <v/>
      </c>
      <c r="J532">
        <f>8248.71</f>
        <v/>
      </c>
    </row>
    <row r="533">
      <c r="B533" t="inlineStr">
        <is>
          <t>03/04/2025</t>
        </is>
      </c>
      <c r="C533" t="inlineStr">
        <is>
          <t>Credit Card Charge</t>
        </is>
      </c>
      <c r="D533" t="inlineStr"/>
      <c r="E533" t="inlineStr">
        <is>
          <t>Contoso Cloud</t>
        </is>
      </c>
      <c r="F533" t="inlineStr">
        <is>
          <t>Cloud hosting 2025-03</t>
        </is>
      </c>
      <c r="H533" t="inlineStr">
        <is>
          <t>6300 Cloud Hosting</t>
        </is>
      </c>
      <c r="I533">
        <f>2640.00</f>
        <v/>
      </c>
      <c r="J533">
        <f>10888.71</f>
        <v/>
      </c>
    </row>
    <row r="534">
      <c r="B534" t="inlineStr">
        <is>
          <t>03/05/2025</t>
        </is>
      </c>
      <c r="C534" t="inlineStr">
        <is>
          <t>Expense</t>
        </is>
      </c>
      <c r="D534" t="inlineStr"/>
      <c r="E534" t="inlineStr">
        <is>
          <t>Vantage Card</t>
        </is>
      </c>
      <c r="F534" t="inlineStr">
        <is>
          <t>Vantage card payment</t>
        </is>
      </c>
      <c r="H534" t="inlineStr">
        <is>
          <t>1010 Northgate Checking 7742</t>
        </is>
      </c>
      <c r="I534">
        <f>-8248.71</f>
        <v/>
      </c>
      <c r="J534">
        <f>2640.00</f>
        <v/>
      </c>
    </row>
    <row r="535">
      <c r="B535" t="inlineStr">
        <is>
          <t>03/13/2025</t>
        </is>
      </c>
      <c r="C535" t="inlineStr">
        <is>
          <t>Credit Card Charge</t>
        </is>
      </c>
      <c r="D535" t="inlineStr"/>
      <c r="E535" t="inlineStr">
        <is>
          <t>Lumina Ads</t>
        </is>
      </c>
      <c r="F535" t="inlineStr">
        <is>
          <t>Lumina Ads 2025-03</t>
        </is>
      </c>
      <c r="H535" t="inlineStr">
        <is>
          <t>6600 Marketing and Advertising</t>
        </is>
      </c>
      <c r="I535">
        <f>1941.58</f>
        <v/>
      </c>
      <c r="J535">
        <f>4581.58</f>
        <v/>
      </c>
    </row>
    <row r="536">
      <c r="B536" t="inlineStr">
        <is>
          <t>03/14/2025</t>
        </is>
      </c>
      <c r="C536" t="inlineStr">
        <is>
          <t>Credit Card Charge</t>
        </is>
      </c>
      <c r="D536" t="inlineStr"/>
      <c r="E536" t="inlineStr">
        <is>
          <t>Lumina Ads</t>
        </is>
      </c>
      <c r="F536" t="inlineStr">
        <is>
          <t>Lumina Ads 2025-03</t>
        </is>
      </c>
      <c r="H536" t="inlineStr">
        <is>
          <t>6600 Marketing and Advertising</t>
        </is>
      </c>
      <c r="I536">
        <f>1151.83</f>
        <v/>
      </c>
      <c r="J536">
        <f>5733.41</f>
        <v/>
      </c>
    </row>
    <row r="537">
      <c r="B537" t="inlineStr">
        <is>
          <t>03/15/2025</t>
        </is>
      </c>
      <c r="C537" t="inlineStr">
        <is>
          <t>Credit Card Charge</t>
        </is>
      </c>
      <c r="D537" t="inlineStr"/>
      <c r="E537" t="inlineStr">
        <is>
          <t>Contoso Cloud</t>
        </is>
      </c>
      <c r="F537" t="inlineStr">
        <is>
          <t>Contoso Cloud 2025-03</t>
        </is>
      </c>
      <c r="H537" t="inlineStr">
        <is>
          <t>6300 Cloud Hosting</t>
        </is>
      </c>
      <c r="I537">
        <f>610.28</f>
        <v/>
      </c>
      <c r="J537">
        <f>6343.69</f>
        <v/>
      </c>
    </row>
    <row r="538">
      <c r="B538" t="inlineStr">
        <is>
          <t>03/19/2025</t>
        </is>
      </c>
      <c r="C538" t="inlineStr">
        <is>
          <t>Credit Card Charge</t>
        </is>
      </c>
      <c r="D538" t="inlineStr"/>
      <c r="E538" t="inlineStr">
        <is>
          <t>Lumina Ads</t>
        </is>
      </c>
      <c r="F538" t="inlineStr">
        <is>
          <t>Lumina Ads 2025-03</t>
        </is>
      </c>
      <c r="H538" t="inlineStr">
        <is>
          <t>6600 Marketing and Advertising</t>
        </is>
      </c>
      <c r="I538">
        <f>2420.49</f>
        <v/>
      </c>
      <c r="J538">
        <f>8764.18</f>
        <v/>
      </c>
    </row>
    <row r="539">
      <c r="B539" t="inlineStr">
        <is>
          <t>03/19/2025</t>
        </is>
      </c>
      <c r="C539" t="inlineStr">
        <is>
          <t>Credit Card Charge</t>
        </is>
      </c>
      <c r="D539" t="inlineStr"/>
      <c r="E539" t="inlineStr">
        <is>
          <t>Contoso Cloud</t>
        </is>
      </c>
      <c r="F539" t="inlineStr">
        <is>
          <t>Contoso Cloud 2025-03</t>
        </is>
      </c>
      <c r="H539" t="inlineStr">
        <is>
          <t>6300 Cloud Hosting</t>
        </is>
      </c>
      <c r="I539">
        <f>361.57</f>
        <v/>
      </c>
      <c r="J539">
        <f>9125.75</f>
        <v/>
      </c>
    </row>
    <row r="540">
      <c r="B540" t="inlineStr">
        <is>
          <t>03/21/2025</t>
        </is>
      </c>
      <c r="C540" t="inlineStr">
        <is>
          <t>Credit Card Charge</t>
        </is>
      </c>
      <c r="D540" t="inlineStr"/>
      <c r="E540" t="inlineStr">
        <is>
          <t>Skyward Air</t>
        </is>
      </c>
      <c r="F540" t="inlineStr">
        <is>
          <t>Skyward Air 2025-03</t>
        </is>
      </c>
      <c r="H540" t="inlineStr">
        <is>
          <t>6900 Travel and Meals</t>
        </is>
      </c>
      <c r="I540">
        <f>490.39</f>
        <v/>
      </c>
      <c r="J540">
        <f>9616.14</f>
        <v/>
      </c>
    </row>
    <row r="541">
      <c r="B541" t="inlineStr">
        <is>
          <t>03/22/2025</t>
        </is>
      </c>
      <c r="C541" t="inlineStr">
        <is>
          <t>Credit Card Charge</t>
        </is>
      </c>
      <c r="D541" t="inlineStr"/>
      <c r="E541" t="inlineStr">
        <is>
          <t>Fabrikam Freight</t>
        </is>
      </c>
      <c r="F541" t="inlineStr">
        <is>
          <t>Outbound freight 2025-03</t>
        </is>
      </c>
      <c r="H541" t="inlineStr">
        <is>
          <t>5100 Shipping and Freight</t>
        </is>
      </c>
      <c r="I541">
        <f>1524.78</f>
        <v/>
      </c>
      <c r="J541">
        <f>11140.92</f>
        <v/>
      </c>
    </row>
    <row r="542">
      <c r="B542" t="inlineStr">
        <is>
          <t>03/26/2025</t>
        </is>
      </c>
      <c r="C542" t="inlineStr">
        <is>
          <t>Credit Card Charge</t>
        </is>
      </c>
      <c r="D542" t="inlineStr"/>
      <c r="E542" t="inlineStr">
        <is>
          <t>Skyward Air</t>
        </is>
      </c>
      <c r="F542" t="inlineStr">
        <is>
          <t>Skyward Air 2025-03</t>
        </is>
      </c>
      <c r="H542" t="inlineStr">
        <is>
          <t>6900 Travel and Meals</t>
        </is>
      </c>
      <c r="I542">
        <f>447.50</f>
        <v/>
      </c>
      <c r="J542">
        <f>11588.42</f>
        <v/>
      </c>
    </row>
    <row r="543">
      <c r="B543" t="inlineStr">
        <is>
          <t>03/27/2025</t>
        </is>
      </c>
      <c r="C543" t="inlineStr">
        <is>
          <t>Credit Card Charge</t>
        </is>
      </c>
      <c r="D543" t="inlineStr"/>
      <c r="E543" t="inlineStr">
        <is>
          <t>Contoso Cloud</t>
        </is>
      </c>
      <c r="F543" t="inlineStr">
        <is>
          <t>Contoso Cloud 2025-03</t>
        </is>
      </c>
      <c r="H543" t="inlineStr">
        <is>
          <t>6300 Cloud Hosting</t>
        </is>
      </c>
      <c r="I543">
        <f>1388.20</f>
        <v/>
      </c>
      <c r="J543">
        <f>12976.62</f>
        <v/>
      </c>
    </row>
    <row r="544">
      <c r="B544" t="inlineStr">
        <is>
          <t>03/27/2025</t>
        </is>
      </c>
      <c r="C544" t="inlineStr">
        <is>
          <t>Credit Card Charge</t>
        </is>
      </c>
      <c r="D544" t="inlineStr"/>
      <c r="E544" t="inlineStr">
        <is>
          <t>Tailspin Tools</t>
        </is>
      </c>
      <c r="F544" t="inlineStr">
        <is>
          <t>Tailspin Tools 2025-03</t>
        </is>
      </c>
      <c r="H544" t="inlineStr">
        <is>
          <t>6200 Software Subscriptions</t>
        </is>
      </c>
      <c r="I544">
        <f>55.09</f>
        <v/>
      </c>
      <c r="J544">
        <f>13031.71</f>
        <v/>
      </c>
    </row>
    <row r="545">
      <c r="B545" t="inlineStr">
        <is>
          <t>03/27/2025</t>
        </is>
      </c>
      <c r="C545" t="inlineStr">
        <is>
          <t>Credit Card Charge</t>
        </is>
      </c>
      <c r="D545" t="inlineStr"/>
      <c r="E545" t="inlineStr">
        <is>
          <t>Harbor Diner</t>
        </is>
      </c>
      <c r="F545" t="inlineStr">
        <is>
          <t>Harbor Diner 2025-03</t>
        </is>
      </c>
      <c r="H545" t="inlineStr">
        <is>
          <t>6900 Travel and Meals</t>
        </is>
      </c>
      <c r="I545">
        <f>95.19</f>
        <v/>
      </c>
      <c r="J545">
        <f>13126.90</f>
        <v/>
      </c>
    </row>
    <row r="546">
      <c r="B546" t="inlineStr">
        <is>
          <t>04/03/2025</t>
        </is>
      </c>
      <c r="C546" t="inlineStr">
        <is>
          <t>Credit Card Charge</t>
        </is>
      </c>
      <c r="D546" t="inlineStr"/>
      <c r="E546" t="inlineStr">
        <is>
          <t>Contoso Cloud</t>
        </is>
      </c>
      <c r="F546" t="inlineStr">
        <is>
          <t>Contoso Cloud 2025-04</t>
        </is>
      </c>
      <c r="H546" t="inlineStr">
        <is>
          <t>6300 Cloud Hosting</t>
        </is>
      </c>
      <c r="I546">
        <f>193.32</f>
        <v/>
      </c>
      <c r="J546">
        <f>13320.22</f>
        <v/>
      </c>
    </row>
    <row r="547">
      <c r="B547" t="inlineStr">
        <is>
          <t>04/04/2025</t>
        </is>
      </c>
      <c r="C547" t="inlineStr">
        <is>
          <t>Credit Card Charge</t>
        </is>
      </c>
      <c r="D547" t="inlineStr"/>
      <c r="E547" t="inlineStr">
        <is>
          <t>Contoso Cloud</t>
        </is>
      </c>
      <c r="F547" t="inlineStr">
        <is>
          <t>Cloud hosting 2025-04</t>
        </is>
      </c>
      <c r="H547" t="inlineStr">
        <is>
          <t>6300 Cloud Hosting</t>
        </is>
      </c>
      <c r="I547">
        <f>2760.00</f>
        <v/>
      </c>
      <c r="J547">
        <f>16080.22</f>
        <v/>
      </c>
    </row>
    <row r="548">
      <c r="B548" t="inlineStr">
        <is>
          <t>04/05/2025</t>
        </is>
      </c>
      <c r="C548" t="inlineStr">
        <is>
          <t>Expense</t>
        </is>
      </c>
      <c r="D548" t="inlineStr"/>
      <c r="E548" t="inlineStr">
        <is>
          <t>Vantage Card</t>
        </is>
      </c>
      <c r="F548" t="inlineStr">
        <is>
          <t>Vantage card payment</t>
        </is>
      </c>
      <c r="H548" t="inlineStr">
        <is>
          <t>1010 Northgate Checking 7742</t>
        </is>
      </c>
      <c r="I548">
        <f>-13126.90</f>
        <v/>
      </c>
      <c r="J548">
        <f>2953.32</f>
        <v/>
      </c>
    </row>
    <row r="549">
      <c r="B549" t="inlineStr">
        <is>
          <t>04/06/2025</t>
        </is>
      </c>
      <c r="C549" t="inlineStr">
        <is>
          <t>Credit Card Charge</t>
        </is>
      </c>
      <c r="D549" t="inlineStr"/>
      <c r="E549" t="inlineStr">
        <is>
          <t>Harbor Diner</t>
        </is>
      </c>
      <c r="F549" t="inlineStr">
        <is>
          <t>Harbor Diner 2025-04</t>
        </is>
      </c>
      <c r="H549" t="inlineStr">
        <is>
          <t>6900 Travel and Meals</t>
        </is>
      </c>
      <c r="I549">
        <f>168.82</f>
        <v/>
      </c>
      <c r="J549">
        <f>3122.14</f>
        <v/>
      </c>
    </row>
    <row r="550">
      <c r="B550" t="inlineStr">
        <is>
          <t>04/06/2025</t>
        </is>
      </c>
      <c r="C550" t="inlineStr">
        <is>
          <t>Credit Card Charge</t>
        </is>
      </c>
      <c r="D550" t="inlineStr"/>
      <c r="E550" t="inlineStr">
        <is>
          <t>Metro Rideshare</t>
        </is>
      </c>
      <c r="F550" t="inlineStr">
        <is>
          <t>Metro Rideshare 2025-04</t>
        </is>
      </c>
      <c r="H550" t="inlineStr">
        <is>
          <t>6900 Travel and Meals</t>
        </is>
      </c>
      <c r="I550">
        <f>73.67</f>
        <v/>
      </c>
      <c r="J550">
        <f>3195.81</f>
        <v/>
      </c>
    </row>
    <row r="551">
      <c r="B551" t="inlineStr">
        <is>
          <t>04/07/2025</t>
        </is>
      </c>
      <c r="C551" t="inlineStr">
        <is>
          <t>Credit Card Charge</t>
        </is>
      </c>
      <c r="D551" t="inlineStr"/>
      <c r="E551" t="inlineStr">
        <is>
          <t>Skyward Air</t>
        </is>
      </c>
      <c r="F551" t="inlineStr">
        <is>
          <t>Skyward Air 2025-04</t>
        </is>
      </c>
      <c r="H551" t="inlineStr">
        <is>
          <t>6900 Travel and Meals</t>
        </is>
      </c>
      <c r="I551">
        <f>537.26</f>
        <v/>
      </c>
      <c r="J551">
        <f>3733.07</f>
        <v/>
      </c>
    </row>
    <row r="552">
      <c r="B552" t="inlineStr">
        <is>
          <t>04/14/2025</t>
        </is>
      </c>
      <c r="C552" t="inlineStr">
        <is>
          <t>Credit Card Charge</t>
        </is>
      </c>
      <c r="D552" t="inlineStr"/>
      <c r="E552" t="inlineStr">
        <is>
          <t>Tailspin Tools</t>
        </is>
      </c>
      <c r="F552" t="inlineStr">
        <is>
          <t>Tailspin Tools 2025-04</t>
        </is>
      </c>
      <c r="H552" t="inlineStr">
        <is>
          <t>6200 Software Subscriptions</t>
        </is>
      </c>
      <c r="I552">
        <f>101.02</f>
        <v/>
      </c>
      <c r="J552">
        <f>3834.09</f>
        <v/>
      </c>
    </row>
    <row r="553">
      <c r="B553" t="inlineStr">
        <is>
          <t>04/22/2025</t>
        </is>
      </c>
      <c r="C553" t="inlineStr">
        <is>
          <t>Credit Card Charge</t>
        </is>
      </c>
      <c r="D553" t="inlineStr"/>
      <c r="E553" t="inlineStr">
        <is>
          <t>Fabrikam Freight</t>
        </is>
      </c>
      <c r="F553" t="inlineStr">
        <is>
          <t>Outbound freight 2025-04</t>
        </is>
      </c>
      <c r="H553" t="inlineStr">
        <is>
          <t>5100 Shipping and Freight</t>
        </is>
      </c>
      <c r="I553">
        <f>1846.03</f>
        <v/>
      </c>
      <c r="J553">
        <f>5680.12</f>
        <v/>
      </c>
    </row>
    <row r="554">
      <c r="B554" t="inlineStr">
        <is>
          <t>05/05/2025</t>
        </is>
      </c>
      <c r="C554" t="inlineStr">
        <is>
          <t>Expense</t>
        </is>
      </c>
      <c r="D554" t="inlineStr"/>
      <c r="E554" t="inlineStr">
        <is>
          <t>Vantage Card</t>
        </is>
      </c>
      <c r="F554" t="inlineStr">
        <is>
          <t>Vantage card payment</t>
        </is>
      </c>
      <c r="H554" t="inlineStr">
        <is>
          <t>1010 Northgate Checking 7742</t>
        </is>
      </c>
      <c r="I554">
        <f>-5680.12</f>
        <v/>
      </c>
      <c r="J554">
        <f>0.00</f>
        <v/>
      </c>
    </row>
    <row r="555">
      <c r="B555" t="inlineStr">
        <is>
          <t>06/05/2025</t>
        </is>
      </c>
      <c r="C555" t="inlineStr">
        <is>
          <t>Expense</t>
        </is>
      </c>
      <c r="D555" t="inlineStr"/>
      <c r="E555" t="inlineStr">
        <is>
          <t>Vantage Card</t>
        </is>
      </c>
      <c r="F555" t="inlineStr">
        <is>
          <t>Vantage card payment</t>
        </is>
      </c>
      <c r="H555" t="inlineStr">
        <is>
          <t>1010 Northgate Checking 7742</t>
        </is>
      </c>
      <c r="I555">
        <f>-10743.03</f>
        <v/>
      </c>
      <c r="J555">
        <f>-10743.03</f>
        <v/>
      </c>
    </row>
    <row r="556">
      <c r="B556" t="inlineStr">
        <is>
          <t>07/05/2025</t>
        </is>
      </c>
      <c r="C556" t="inlineStr">
        <is>
          <t>Expense</t>
        </is>
      </c>
      <c r="D556" t="inlineStr"/>
      <c r="E556" t="inlineStr">
        <is>
          <t>Vantage Card</t>
        </is>
      </c>
      <c r="F556" t="inlineStr">
        <is>
          <t>Vantage card payment</t>
        </is>
      </c>
      <c r="H556" t="inlineStr">
        <is>
          <t>1010 Northgate Checking 7742</t>
        </is>
      </c>
      <c r="I556">
        <f>-10282.64</f>
        <v/>
      </c>
      <c r="J556">
        <f>-21025.67</f>
        <v/>
      </c>
    </row>
    <row r="557">
      <c r="B557" t="inlineStr">
        <is>
          <t>08/05/2025</t>
        </is>
      </c>
      <c r="C557" t="inlineStr">
        <is>
          <t>Expense</t>
        </is>
      </c>
      <c r="D557" t="inlineStr"/>
      <c r="E557" t="inlineStr">
        <is>
          <t>Vantage Card</t>
        </is>
      </c>
      <c r="F557" t="inlineStr">
        <is>
          <t>Vantage card payment</t>
        </is>
      </c>
      <c r="H557" t="inlineStr">
        <is>
          <t>1010 Northgate Checking 7742</t>
        </is>
      </c>
      <c r="I557">
        <f>-11377.24</f>
        <v/>
      </c>
      <c r="J557">
        <f>-32402.91</f>
        <v/>
      </c>
    </row>
    <row r="558">
      <c r="B558" t="inlineStr">
        <is>
          <t>09/05/2025</t>
        </is>
      </c>
      <c r="C558" t="inlineStr">
        <is>
          <t>Expense</t>
        </is>
      </c>
      <c r="D558" t="inlineStr"/>
      <c r="E558" t="inlineStr">
        <is>
          <t>Vantage Card</t>
        </is>
      </c>
      <c r="F558" t="inlineStr">
        <is>
          <t>Vantage card payment</t>
        </is>
      </c>
      <c r="H558" t="inlineStr">
        <is>
          <t>1010 Northgate Checking 7742</t>
        </is>
      </c>
      <c r="I558">
        <f>-8983.02</f>
        <v/>
      </c>
      <c r="J558">
        <f>-41385.93</f>
        <v/>
      </c>
    </row>
    <row r="559">
      <c r="A559" t="inlineStr">
        <is>
          <t>Total for 2100 Vantage Card 3391</t>
        </is>
      </c>
      <c r="I559">
        <f>-41385.93</f>
        <v/>
      </c>
    </row>
    <row r="560"/>
    <row r="561">
      <c r="A561" t="inlineStr">
        <is>
          <t>Vantage Credit Card 3391</t>
        </is>
      </c>
    </row>
    <row r="562">
      <c r="G562" t="inlineStr">
        <is>
          <t>Beginning Balance</t>
        </is>
      </c>
      <c r="J562">
        <f>0.00</f>
        <v/>
      </c>
    </row>
    <row r="563">
      <c r="B563" t="inlineStr">
        <is>
          <t>05/03/2025</t>
        </is>
      </c>
      <c r="C563" t="inlineStr">
        <is>
          <t>Credit Card Charge</t>
        </is>
      </c>
      <c r="D563" t="inlineStr"/>
      <c r="E563" t="inlineStr">
        <is>
          <t>Skyward Air</t>
        </is>
      </c>
      <c r="F563" t="inlineStr">
        <is>
          <t>Skyward Air 2025-05</t>
        </is>
      </c>
      <c r="H563" t="inlineStr">
        <is>
          <t>6900 Travel and Meals</t>
        </is>
      </c>
      <c r="I563">
        <f>291.10</f>
        <v/>
      </c>
      <c r="J563">
        <f>291.10</f>
        <v/>
      </c>
    </row>
    <row r="564">
      <c r="B564" t="inlineStr">
        <is>
          <t>05/04/2025</t>
        </is>
      </c>
      <c r="C564" t="inlineStr">
        <is>
          <t>Credit Card Charge</t>
        </is>
      </c>
      <c r="D564" t="inlineStr"/>
      <c r="E564" t="inlineStr">
        <is>
          <t>Contoso Cloud</t>
        </is>
      </c>
      <c r="F564" t="inlineStr">
        <is>
          <t>Cloud hosting 2025-05</t>
        </is>
      </c>
      <c r="H564" t="inlineStr">
        <is>
          <t>6300 Cloud Hosting</t>
        </is>
      </c>
      <c r="I564">
        <f>2880.00</f>
        <v/>
      </c>
      <c r="J564">
        <f>3171.10</f>
        <v/>
      </c>
    </row>
    <row r="565">
      <c r="B565" t="inlineStr">
        <is>
          <t>05/07/2025</t>
        </is>
      </c>
      <c r="C565" t="inlineStr">
        <is>
          <t>Credit Card Charge</t>
        </is>
      </c>
      <c r="D565" t="inlineStr"/>
      <c r="E565" t="inlineStr">
        <is>
          <t>Lumina Ads</t>
        </is>
      </c>
      <c r="F565" t="inlineStr">
        <is>
          <t>Lumina Ads 2025-05</t>
        </is>
      </c>
      <c r="H565" t="inlineStr">
        <is>
          <t>6600 Marketing and Advertising</t>
        </is>
      </c>
      <c r="I565">
        <f>1687.65</f>
        <v/>
      </c>
      <c r="J565">
        <f>4858.75</f>
        <v/>
      </c>
    </row>
    <row r="566">
      <c r="B566" t="inlineStr">
        <is>
          <t>05/09/2025</t>
        </is>
      </c>
      <c r="C566" t="inlineStr">
        <is>
          <t>Credit Card Charge</t>
        </is>
      </c>
      <c r="D566" t="inlineStr"/>
      <c r="E566" t="inlineStr">
        <is>
          <t>Contoso Cloud</t>
        </is>
      </c>
      <c r="F566" t="inlineStr">
        <is>
          <t>Contoso Cloud 2025-05</t>
        </is>
      </c>
      <c r="H566" t="inlineStr">
        <is>
          <t>6300 Cloud Hosting</t>
        </is>
      </c>
      <c r="I566">
        <f>266.75</f>
        <v/>
      </c>
      <c r="J566">
        <f>5125.50</f>
        <v/>
      </c>
    </row>
    <row r="567">
      <c r="B567" t="inlineStr">
        <is>
          <t>05/17/2025</t>
        </is>
      </c>
      <c r="C567" t="inlineStr">
        <is>
          <t>Credit Card Charge</t>
        </is>
      </c>
      <c r="D567" t="inlineStr"/>
      <c r="E567" t="inlineStr">
        <is>
          <t>Metro Rideshare</t>
        </is>
      </c>
      <c r="F567" t="inlineStr">
        <is>
          <t>Metro Rideshare 2025-05</t>
        </is>
      </c>
      <c r="H567" t="inlineStr">
        <is>
          <t>6900 Travel and Meals</t>
        </is>
      </c>
      <c r="I567">
        <f>26.85</f>
        <v/>
      </c>
      <c r="J567">
        <f>5152.35</f>
        <v/>
      </c>
    </row>
    <row r="568">
      <c r="B568" t="inlineStr">
        <is>
          <t>05/18/2025</t>
        </is>
      </c>
      <c r="C568" t="inlineStr">
        <is>
          <t>Credit Card Charge</t>
        </is>
      </c>
      <c r="D568" t="inlineStr"/>
      <c r="E568" t="inlineStr">
        <is>
          <t>Harbor Diner</t>
        </is>
      </c>
      <c r="F568" t="inlineStr">
        <is>
          <t>Harbor Diner 2025-05</t>
        </is>
      </c>
      <c r="H568" t="inlineStr">
        <is>
          <t>6900 Travel and Meals</t>
        </is>
      </c>
      <c r="I568">
        <f>146.21</f>
        <v/>
      </c>
      <c r="J568">
        <f>5298.56</f>
        <v/>
      </c>
    </row>
    <row r="569">
      <c r="B569" t="inlineStr">
        <is>
          <t>05/19/2025</t>
        </is>
      </c>
      <c r="C569" t="inlineStr">
        <is>
          <t>Credit Card Charge</t>
        </is>
      </c>
      <c r="D569" t="inlineStr"/>
      <c r="E569" t="inlineStr">
        <is>
          <t>Contoso Cloud</t>
        </is>
      </c>
      <c r="F569" t="inlineStr">
        <is>
          <t>Contoso Cloud 2025-05</t>
        </is>
      </c>
      <c r="H569" t="inlineStr">
        <is>
          <t>6300 Cloud Hosting</t>
        </is>
      </c>
      <c r="I569">
        <f>1311.86</f>
        <v/>
      </c>
      <c r="J569">
        <f>6610.42</f>
        <v/>
      </c>
    </row>
    <row r="570">
      <c r="B570" t="inlineStr">
        <is>
          <t>05/20/2025</t>
        </is>
      </c>
      <c r="C570" t="inlineStr">
        <is>
          <t>Credit Card Charge</t>
        </is>
      </c>
      <c r="D570" t="inlineStr"/>
      <c r="E570" t="inlineStr">
        <is>
          <t>Contoso Cloud</t>
        </is>
      </c>
      <c r="F570" t="inlineStr">
        <is>
          <t>Contoso Cloud 2025-05</t>
        </is>
      </c>
      <c r="H570" t="inlineStr">
        <is>
          <t>6300 Cloud Hosting</t>
        </is>
      </c>
      <c r="I570">
        <f>1358.11</f>
        <v/>
      </c>
      <c r="J570">
        <f>7968.53</f>
        <v/>
      </c>
    </row>
    <row r="571">
      <c r="B571" t="inlineStr">
        <is>
          <t>05/22/2025</t>
        </is>
      </c>
      <c r="C571" t="inlineStr">
        <is>
          <t>Credit Card Charge</t>
        </is>
      </c>
      <c r="D571" t="inlineStr"/>
      <c r="E571" t="inlineStr">
        <is>
          <t>Fabrikam Freight</t>
        </is>
      </c>
      <c r="F571" t="inlineStr">
        <is>
          <t>Outbound freight 2025-05</t>
        </is>
      </c>
      <c r="H571" t="inlineStr">
        <is>
          <t>5100 Shipping and Freight</t>
        </is>
      </c>
      <c r="I571">
        <f>1576.48</f>
        <v/>
      </c>
      <c r="J571">
        <f>9545.01</f>
        <v/>
      </c>
    </row>
    <row r="572">
      <c r="B572" t="inlineStr">
        <is>
          <t>05/22/2025</t>
        </is>
      </c>
      <c r="C572" t="inlineStr">
        <is>
          <t>Credit Card Charge</t>
        </is>
      </c>
      <c r="D572" t="inlineStr"/>
      <c r="E572" t="inlineStr">
        <is>
          <t>Cascade Office</t>
        </is>
      </c>
      <c r="F572" t="inlineStr">
        <is>
          <t>Cascade Office 2025-05</t>
        </is>
      </c>
      <c r="H572" t="inlineStr">
        <is>
          <t>6700 Office Supplies</t>
        </is>
      </c>
      <c r="I572">
        <f>365.70</f>
        <v/>
      </c>
      <c r="J572">
        <f>9910.71</f>
        <v/>
      </c>
    </row>
    <row r="573">
      <c r="B573" t="inlineStr">
        <is>
          <t>05/23/2025</t>
        </is>
      </c>
      <c r="C573" t="inlineStr">
        <is>
          <t>Credit Card Charge</t>
        </is>
      </c>
      <c r="D573" t="inlineStr"/>
      <c r="E573" t="inlineStr">
        <is>
          <t>Metro Rideshare</t>
        </is>
      </c>
      <c r="F573" t="inlineStr">
        <is>
          <t>Metro Rideshare 2025-05</t>
        </is>
      </c>
      <c r="H573" t="inlineStr">
        <is>
          <t>6900 Travel and Meals</t>
        </is>
      </c>
      <c r="I573">
        <f>71.91</f>
        <v/>
      </c>
      <c r="J573">
        <f>9982.62</f>
        <v/>
      </c>
    </row>
    <row r="574">
      <c r="B574" t="inlineStr">
        <is>
          <t>05/24/2025</t>
        </is>
      </c>
      <c r="C574" t="inlineStr">
        <is>
          <t>Credit Card Charge</t>
        </is>
      </c>
      <c r="D574" t="inlineStr"/>
      <c r="E574" t="inlineStr">
        <is>
          <t>Skyward Air</t>
        </is>
      </c>
      <c r="F574" t="inlineStr">
        <is>
          <t>Skyward Air 2025-05</t>
        </is>
      </c>
      <c r="H574" t="inlineStr">
        <is>
          <t>6900 Travel and Meals</t>
        </is>
      </c>
      <c r="I574">
        <f>660.14</f>
        <v/>
      </c>
      <c r="J574">
        <f>10642.76</f>
        <v/>
      </c>
    </row>
    <row r="575">
      <c r="B575" t="inlineStr">
        <is>
          <t>05/25/2025</t>
        </is>
      </c>
      <c r="C575" t="inlineStr">
        <is>
          <t>Credit Card Charge</t>
        </is>
      </c>
      <c r="D575" t="inlineStr"/>
      <c r="E575" t="inlineStr">
        <is>
          <t>Metro Rideshare</t>
        </is>
      </c>
      <c r="F575" t="inlineStr">
        <is>
          <t>Metro Rideshare 2025-05</t>
        </is>
      </c>
      <c r="H575" t="inlineStr">
        <is>
          <t>6900 Travel and Meals</t>
        </is>
      </c>
      <c r="I575">
        <f>55.91</f>
        <v/>
      </c>
      <c r="J575">
        <f>10698.67</f>
        <v/>
      </c>
    </row>
    <row r="576">
      <c r="B576" t="inlineStr">
        <is>
          <t>05/26/2025</t>
        </is>
      </c>
      <c r="C576" t="inlineStr">
        <is>
          <t>Credit Card Charge</t>
        </is>
      </c>
      <c r="D576" t="inlineStr"/>
      <c r="E576" t="inlineStr">
        <is>
          <t>Cascade Office</t>
        </is>
      </c>
      <c r="F576" t="inlineStr">
        <is>
          <t>Cascade Office 2025-05</t>
        </is>
      </c>
      <c r="H576" t="inlineStr">
        <is>
          <t>6700 Office Supplies</t>
        </is>
      </c>
      <c r="I576">
        <f>44.36</f>
        <v/>
      </c>
      <c r="J576">
        <f>10743.03</f>
        <v/>
      </c>
    </row>
    <row r="577">
      <c r="B577" t="inlineStr">
        <is>
          <t>06/03/2025</t>
        </is>
      </c>
      <c r="C577" t="inlineStr">
        <is>
          <t>Credit Card Charge</t>
        </is>
      </c>
      <c r="D577" t="inlineStr"/>
      <c r="E577" t="inlineStr">
        <is>
          <t>Metro Rideshare</t>
        </is>
      </c>
      <c r="F577" t="inlineStr">
        <is>
          <t>Metro Rideshare 2025-06</t>
        </is>
      </c>
      <c r="H577" t="inlineStr">
        <is>
          <t>6900 Travel and Meals</t>
        </is>
      </c>
      <c r="I577">
        <f>22.00</f>
        <v/>
      </c>
      <c r="J577">
        <f>10765.03</f>
        <v/>
      </c>
    </row>
    <row r="578">
      <c r="B578" t="inlineStr">
        <is>
          <t>06/03/2025</t>
        </is>
      </c>
      <c r="C578" t="inlineStr">
        <is>
          <t>Credit Card Charge</t>
        </is>
      </c>
      <c r="D578" t="inlineStr"/>
      <c r="E578" t="inlineStr">
        <is>
          <t>Metro Rideshare</t>
        </is>
      </c>
      <c r="F578" t="inlineStr">
        <is>
          <t>Metro Rideshare 2025-06</t>
        </is>
      </c>
      <c r="H578" t="inlineStr">
        <is>
          <t>6900 Travel and Meals</t>
        </is>
      </c>
      <c r="I578">
        <f>37.64</f>
        <v/>
      </c>
      <c r="J578">
        <f>10802.67</f>
        <v/>
      </c>
    </row>
    <row r="579">
      <c r="B579" t="inlineStr">
        <is>
          <t>06/04/2025</t>
        </is>
      </c>
      <c r="C579" t="inlineStr">
        <is>
          <t>Credit Card Charge</t>
        </is>
      </c>
      <c r="D579" t="inlineStr"/>
      <c r="E579" t="inlineStr">
        <is>
          <t>Contoso Cloud</t>
        </is>
      </c>
      <c r="F579" t="inlineStr">
        <is>
          <t>Cloud hosting 2025-06</t>
        </is>
      </c>
      <c r="H579" t="inlineStr">
        <is>
          <t>6300 Cloud Hosting</t>
        </is>
      </c>
      <c r="I579">
        <f>3000.00</f>
        <v/>
      </c>
      <c r="J579">
        <f>13802.67</f>
        <v/>
      </c>
    </row>
    <row r="580">
      <c r="B580" t="inlineStr">
        <is>
          <t>06/05/2025</t>
        </is>
      </c>
      <c r="C580" t="inlineStr">
        <is>
          <t>Credit Card Charge</t>
        </is>
      </c>
      <c r="D580" t="inlineStr"/>
      <c r="E580" t="inlineStr">
        <is>
          <t>Skyward Air</t>
        </is>
      </c>
      <c r="F580" t="inlineStr">
        <is>
          <t>Skyward Air 2025-06</t>
        </is>
      </c>
      <c r="H580" t="inlineStr">
        <is>
          <t>6900 Travel and Meals</t>
        </is>
      </c>
      <c r="I580">
        <f>824.11</f>
        <v/>
      </c>
      <c r="J580">
        <f>14626.78</f>
        <v/>
      </c>
    </row>
    <row r="581">
      <c r="B581" t="inlineStr">
        <is>
          <t>06/10/2025</t>
        </is>
      </c>
      <c r="C581" t="inlineStr">
        <is>
          <t>Credit Card Charge</t>
        </is>
      </c>
      <c r="D581" t="inlineStr"/>
      <c r="E581" t="inlineStr">
        <is>
          <t>Harbor Diner</t>
        </is>
      </c>
      <c r="F581" t="inlineStr">
        <is>
          <t>Harbor Diner 2025-06</t>
        </is>
      </c>
      <c r="H581" t="inlineStr">
        <is>
          <t>6900 Travel and Meals</t>
        </is>
      </c>
      <c r="I581">
        <f>96.46</f>
        <v/>
      </c>
      <c r="J581">
        <f>14723.24</f>
        <v/>
      </c>
    </row>
    <row r="582">
      <c r="B582" t="inlineStr">
        <is>
          <t>06/10/2025</t>
        </is>
      </c>
      <c r="C582" t="inlineStr">
        <is>
          <t>Credit Card Charge</t>
        </is>
      </c>
      <c r="D582" t="inlineStr"/>
      <c r="E582" t="inlineStr">
        <is>
          <t>Contoso Cloud</t>
        </is>
      </c>
      <c r="F582" t="inlineStr">
        <is>
          <t>Contoso Cloud 2025-06</t>
        </is>
      </c>
      <c r="H582" t="inlineStr">
        <is>
          <t>6300 Cloud Hosting</t>
        </is>
      </c>
      <c r="I582">
        <f>999.02</f>
        <v/>
      </c>
      <c r="J582">
        <f>15722.26</f>
        <v/>
      </c>
    </row>
    <row r="583">
      <c r="B583" t="inlineStr">
        <is>
          <t>06/14/2025</t>
        </is>
      </c>
      <c r="C583" t="inlineStr">
        <is>
          <t>Credit Card Charge</t>
        </is>
      </c>
      <c r="D583" t="inlineStr"/>
      <c r="E583" t="inlineStr">
        <is>
          <t>Contoso Cloud</t>
        </is>
      </c>
      <c r="F583" t="inlineStr">
        <is>
          <t>Contoso Cloud 2025-06</t>
        </is>
      </c>
      <c r="H583" t="inlineStr">
        <is>
          <t>6300 Cloud Hosting</t>
        </is>
      </c>
      <c r="I583">
        <f>386.24</f>
        <v/>
      </c>
      <c r="J583">
        <f>16108.50</f>
        <v/>
      </c>
    </row>
    <row r="584">
      <c r="B584" t="inlineStr">
        <is>
          <t>06/15/2025</t>
        </is>
      </c>
      <c r="C584" t="inlineStr">
        <is>
          <t>Credit Card Charge</t>
        </is>
      </c>
      <c r="D584" t="inlineStr"/>
      <c r="E584" t="inlineStr">
        <is>
          <t>Metro Rideshare</t>
        </is>
      </c>
      <c r="F584" t="inlineStr">
        <is>
          <t>Metro Rideshare 2025-06</t>
        </is>
      </c>
      <c r="H584" t="inlineStr">
        <is>
          <t>6900 Travel and Meals</t>
        </is>
      </c>
      <c r="I584">
        <f>30.40</f>
        <v/>
      </c>
      <c r="J584">
        <f>16138.90</f>
        <v/>
      </c>
    </row>
    <row r="585">
      <c r="B585" t="inlineStr">
        <is>
          <t>06/16/2025</t>
        </is>
      </c>
      <c r="C585" t="inlineStr">
        <is>
          <t>Credit Card Charge</t>
        </is>
      </c>
      <c r="D585" t="inlineStr"/>
      <c r="E585" t="inlineStr">
        <is>
          <t>Skyward Air</t>
        </is>
      </c>
      <c r="F585" t="inlineStr">
        <is>
          <t>Skyward Air 2025-06</t>
        </is>
      </c>
      <c r="H585" t="inlineStr">
        <is>
          <t>6900 Travel and Meals</t>
        </is>
      </c>
      <c r="I585">
        <f>207.47</f>
        <v/>
      </c>
      <c r="J585">
        <f>16346.37</f>
        <v/>
      </c>
    </row>
    <row r="586">
      <c r="B586" t="inlineStr">
        <is>
          <t>06/21/2025</t>
        </is>
      </c>
      <c r="C586" t="inlineStr">
        <is>
          <t>Credit Card Charge</t>
        </is>
      </c>
      <c r="D586" t="inlineStr"/>
      <c r="E586" t="inlineStr">
        <is>
          <t>Lumina Ads</t>
        </is>
      </c>
      <c r="F586" t="inlineStr">
        <is>
          <t>Lumina Ads 2025-06</t>
        </is>
      </c>
      <c r="H586" t="inlineStr">
        <is>
          <t>6600 Marketing and Advertising</t>
        </is>
      </c>
      <c r="I586">
        <f>1081.70</f>
        <v/>
      </c>
      <c r="J586">
        <f>17428.07</f>
        <v/>
      </c>
    </row>
    <row r="587">
      <c r="B587" t="inlineStr">
        <is>
          <t>06/21/2025</t>
        </is>
      </c>
      <c r="C587" t="inlineStr">
        <is>
          <t>Credit Card Charge</t>
        </is>
      </c>
      <c r="D587" t="inlineStr"/>
      <c r="E587" t="inlineStr">
        <is>
          <t>Lumina Ads</t>
        </is>
      </c>
      <c r="F587" t="inlineStr">
        <is>
          <t>Lumina Ads 2025-06</t>
        </is>
      </c>
      <c r="H587" t="inlineStr">
        <is>
          <t>6600 Marketing and Advertising</t>
        </is>
      </c>
      <c r="I587">
        <f>1383.27</f>
        <v/>
      </c>
      <c r="J587">
        <f>18811.34</f>
        <v/>
      </c>
    </row>
    <row r="588">
      <c r="B588" t="inlineStr">
        <is>
          <t>06/22/2025</t>
        </is>
      </c>
      <c r="C588" t="inlineStr">
        <is>
          <t>Credit Card Charge</t>
        </is>
      </c>
      <c r="D588" t="inlineStr"/>
      <c r="E588" t="inlineStr">
        <is>
          <t>Fabrikam Freight</t>
        </is>
      </c>
      <c r="F588" t="inlineStr">
        <is>
          <t>Outbound freight 2025-06</t>
        </is>
      </c>
      <c r="H588" t="inlineStr">
        <is>
          <t>5100 Shipping and Freight</t>
        </is>
      </c>
      <c r="I588">
        <f>1880.07</f>
        <v/>
      </c>
      <c r="J588">
        <f>20691.41</f>
        <v/>
      </c>
    </row>
    <row r="589">
      <c r="B589" t="inlineStr">
        <is>
          <t>06/25/2025</t>
        </is>
      </c>
      <c r="C589" t="inlineStr">
        <is>
          <t>Credit Card Charge</t>
        </is>
      </c>
      <c r="D589" t="inlineStr"/>
      <c r="E589" t="inlineStr">
        <is>
          <t>Harbor Diner</t>
        </is>
      </c>
      <c r="F589" t="inlineStr">
        <is>
          <t>Harbor Diner 2025-06</t>
        </is>
      </c>
      <c r="H589" t="inlineStr">
        <is>
          <t>6900 Travel and Meals</t>
        </is>
      </c>
      <c r="I589">
        <f>139.50</f>
        <v/>
      </c>
      <c r="J589">
        <f>20830.91</f>
        <v/>
      </c>
    </row>
    <row r="590">
      <c r="B590" t="inlineStr">
        <is>
          <t>06/26/2025</t>
        </is>
      </c>
      <c r="C590" t="inlineStr">
        <is>
          <t>Credit Card Charge</t>
        </is>
      </c>
      <c r="D590" t="inlineStr"/>
      <c r="E590" t="inlineStr">
        <is>
          <t>Tailspin Tools</t>
        </is>
      </c>
      <c r="F590" t="inlineStr">
        <is>
          <t>Tailspin Tools 2025-06</t>
        </is>
      </c>
      <c r="H590" t="inlineStr">
        <is>
          <t>6200 Software Subscriptions</t>
        </is>
      </c>
      <c r="I590">
        <f>194.76</f>
        <v/>
      </c>
      <c r="J590">
        <f>21025.67</f>
        <v/>
      </c>
    </row>
    <row r="591">
      <c r="B591" t="inlineStr">
        <is>
          <t>07/02/2025</t>
        </is>
      </c>
      <c r="C591" t="inlineStr">
        <is>
          <t>Credit Card Charge</t>
        </is>
      </c>
      <c r="D591" t="inlineStr"/>
      <c r="E591" t="inlineStr">
        <is>
          <t>Contoso Cloud</t>
        </is>
      </c>
      <c r="F591" t="inlineStr">
        <is>
          <t>Contoso Cloud 2025-07</t>
        </is>
      </c>
      <c r="H591" t="inlineStr">
        <is>
          <t>6300 Cloud Hosting</t>
        </is>
      </c>
      <c r="I591">
        <f>1141.12</f>
        <v/>
      </c>
      <c r="J591">
        <f>22166.79</f>
        <v/>
      </c>
    </row>
    <row r="592">
      <c r="B592" t="inlineStr">
        <is>
          <t>07/04/2025</t>
        </is>
      </c>
      <c r="C592" t="inlineStr">
        <is>
          <t>Credit Card Charge</t>
        </is>
      </c>
      <c r="D592" t="inlineStr"/>
      <c r="E592" t="inlineStr">
        <is>
          <t>Contoso Cloud</t>
        </is>
      </c>
      <c r="F592" t="inlineStr">
        <is>
          <t>Cloud hosting 2025-07</t>
        </is>
      </c>
      <c r="H592" t="inlineStr">
        <is>
          <t>6300 Cloud Hosting</t>
        </is>
      </c>
      <c r="I592">
        <f>3120.00</f>
        <v/>
      </c>
      <c r="J592">
        <f>25286.79</f>
        <v/>
      </c>
    </row>
    <row r="593">
      <c r="B593" t="inlineStr">
        <is>
          <t>07/07/2025</t>
        </is>
      </c>
      <c r="C593" t="inlineStr">
        <is>
          <t>Credit Card Charge</t>
        </is>
      </c>
      <c r="D593" t="inlineStr"/>
      <c r="E593" t="inlineStr">
        <is>
          <t>Lumina Ads</t>
        </is>
      </c>
      <c r="F593" t="inlineStr">
        <is>
          <t>Lumina Ads 2025-07</t>
        </is>
      </c>
      <c r="H593" t="inlineStr">
        <is>
          <t>6600 Marketing and Advertising</t>
        </is>
      </c>
      <c r="I593">
        <f>550.57</f>
        <v/>
      </c>
      <c r="J593">
        <f>25837.36</f>
        <v/>
      </c>
    </row>
    <row r="594">
      <c r="B594" t="inlineStr">
        <is>
          <t>07/07/2025</t>
        </is>
      </c>
      <c r="C594" t="inlineStr">
        <is>
          <t>Credit Card Charge</t>
        </is>
      </c>
      <c r="D594" t="inlineStr"/>
      <c r="E594" t="inlineStr">
        <is>
          <t>Lumina Ads</t>
        </is>
      </c>
      <c r="F594" t="inlineStr">
        <is>
          <t>Lumina Ads 2025-07</t>
        </is>
      </c>
      <c r="H594" t="inlineStr">
        <is>
          <t>6600 Marketing and Advertising</t>
        </is>
      </c>
      <c r="I594">
        <f>1784.34</f>
        <v/>
      </c>
      <c r="J594">
        <f>27621.70</f>
        <v/>
      </c>
    </row>
    <row r="595">
      <c r="B595" t="inlineStr">
        <is>
          <t>07/08/2025</t>
        </is>
      </c>
      <c r="C595" t="inlineStr">
        <is>
          <t>Credit Card Charge</t>
        </is>
      </c>
      <c r="D595" t="inlineStr"/>
      <c r="E595" t="inlineStr">
        <is>
          <t>Cascade Office</t>
        </is>
      </c>
      <c r="F595" t="inlineStr">
        <is>
          <t>Cascade Office 2025-07</t>
        </is>
      </c>
      <c r="H595" t="inlineStr">
        <is>
          <t>6700 Office Supplies</t>
        </is>
      </c>
      <c r="I595">
        <f>203.02</f>
        <v/>
      </c>
      <c r="J595">
        <f>27824.72</f>
        <v/>
      </c>
    </row>
    <row r="596">
      <c r="B596" t="inlineStr">
        <is>
          <t>07/09/2025</t>
        </is>
      </c>
      <c r="C596" t="inlineStr">
        <is>
          <t>Credit Card Charge</t>
        </is>
      </c>
      <c r="D596" t="inlineStr"/>
      <c r="E596" t="inlineStr">
        <is>
          <t>Tailspin Tools</t>
        </is>
      </c>
      <c r="F596" t="inlineStr">
        <is>
          <t>Tailspin Tools 2025-07</t>
        </is>
      </c>
      <c r="H596" t="inlineStr">
        <is>
          <t>6200 Software Subscriptions</t>
        </is>
      </c>
      <c r="I596">
        <f>314.88</f>
        <v/>
      </c>
      <c r="J596">
        <f>28139.60</f>
        <v/>
      </c>
    </row>
    <row r="597">
      <c r="B597" t="inlineStr">
        <is>
          <t>07/09/2025</t>
        </is>
      </c>
      <c r="C597" t="inlineStr">
        <is>
          <t>Credit Card Charge</t>
        </is>
      </c>
      <c r="D597" t="inlineStr"/>
      <c r="E597" t="inlineStr">
        <is>
          <t>Cascade Office</t>
        </is>
      </c>
      <c r="F597" t="inlineStr">
        <is>
          <t>Cascade Office 2025-07</t>
        </is>
      </c>
      <c r="H597" t="inlineStr">
        <is>
          <t>6700 Office Supplies</t>
        </is>
      </c>
      <c r="I597">
        <f>431.71</f>
        <v/>
      </c>
      <c r="J597">
        <f>28571.31</f>
        <v/>
      </c>
    </row>
    <row r="598">
      <c r="B598" t="inlineStr">
        <is>
          <t>07/11/2025</t>
        </is>
      </c>
      <c r="C598" t="inlineStr">
        <is>
          <t>Credit Card Charge</t>
        </is>
      </c>
      <c r="D598" t="inlineStr"/>
      <c r="E598" t="inlineStr">
        <is>
          <t>Contoso Cloud</t>
        </is>
      </c>
      <c r="F598" t="inlineStr">
        <is>
          <t>Contoso Cloud 2025-07</t>
        </is>
      </c>
      <c r="H598" t="inlineStr">
        <is>
          <t>6300 Cloud Hosting</t>
        </is>
      </c>
      <c r="I598">
        <f>865.69</f>
        <v/>
      </c>
      <c r="J598">
        <f>29437.00</f>
        <v/>
      </c>
    </row>
    <row r="599">
      <c r="B599" t="inlineStr">
        <is>
          <t>07/12/2025</t>
        </is>
      </c>
      <c r="C599" t="inlineStr">
        <is>
          <t>Credit Card Charge</t>
        </is>
      </c>
      <c r="D599" t="inlineStr"/>
      <c r="E599" t="inlineStr">
        <is>
          <t>Metro Rideshare</t>
        </is>
      </c>
      <c r="F599" t="inlineStr">
        <is>
          <t>Metro Rideshare 2025-07</t>
        </is>
      </c>
      <c r="H599" t="inlineStr">
        <is>
          <t>6900 Travel and Meals</t>
        </is>
      </c>
      <c r="I599">
        <f>32.58</f>
        <v/>
      </c>
      <c r="J599">
        <f>29469.58</f>
        <v/>
      </c>
    </row>
    <row r="600">
      <c r="B600" t="inlineStr">
        <is>
          <t>07/12/2025</t>
        </is>
      </c>
      <c r="C600" t="inlineStr">
        <is>
          <t>Credit Card Charge</t>
        </is>
      </c>
      <c r="D600" t="inlineStr"/>
      <c r="E600" t="inlineStr">
        <is>
          <t>Contoso Cloud</t>
        </is>
      </c>
      <c r="F600" t="inlineStr">
        <is>
          <t>Contoso Cloud 2025-07</t>
        </is>
      </c>
      <c r="H600" t="inlineStr">
        <is>
          <t>6300 Cloud Hosting</t>
        </is>
      </c>
      <c r="I600">
        <f>1010.22</f>
        <v/>
      </c>
      <c r="J600">
        <f>30479.80</f>
        <v/>
      </c>
    </row>
    <row r="601">
      <c r="B601" t="inlineStr">
        <is>
          <t>07/12/2025</t>
        </is>
      </c>
      <c r="C601" t="inlineStr">
        <is>
          <t>Credit Card Charge</t>
        </is>
      </c>
      <c r="D601" t="inlineStr"/>
      <c r="E601" t="inlineStr">
        <is>
          <t>Metro Rideshare</t>
        </is>
      </c>
      <c r="F601" t="inlineStr">
        <is>
          <t>Metro Rideshare 2025-07</t>
        </is>
      </c>
      <c r="H601" t="inlineStr">
        <is>
          <t>6900 Travel and Meals</t>
        </is>
      </c>
      <c r="I601">
        <f>66.98</f>
        <v/>
      </c>
      <c r="J601">
        <f>30546.78</f>
        <v/>
      </c>
    </row>
    <row r="602">
      <c r="B602" t="inlineStr">
        <is>
          <t>07/22/2025</t>
        </is>
      </c>
      <c r="C602" t="inlineStr">
        <is>
          <t>Credit Card Charge</t>
        </is>
      </c>
      <c r="D602" t="inlineStr"/>
      <c r="E602" t="inlineStr">
        <is>
          <t>Fabrikam Freight</t>
        </is>
      </c>
      <c r="F602" t="inlineStr">
        <is>
          <t>Outbound freight 2025-07</t>
        </is>
      </c>
      <c r="H602" t="inlineStr">
        <is>
          <t>5100 Shipping and Freight</t>
        </is>
      </c>
      <c r="I602">
        <f>1667.96</f>
        <v/>
      </c>
      <c r="J602">
        <f>32214.74</f>
        <v/>
      </c>
    </row>
    <row r="603">
      <c r="B603" t="inlineStr">
        <is>
          <t>07/22/2025</t>
        </is>
      </c>
      <c r="C603" t="inlineStr">
        <is>
          <t>Credit Card Charge</t>
        </is>
      </c>
      <c r="D603" t="inlineStr"/>
      <c r="E603" t="inlineStr">
        <is>
          <t>Tailspin Tools</t>
        </is>
      </c>
      <c r="F603" t="inlineStr">
        <is>
          <t>Tailspin Tools 2025-07</t>
        </is>
      </c>
      <c r="H603" t="inlineStr">
        <is>
          <t>6200 Software Subscriptions</t>
        </is>
      </c>
      <c r="I603">
        <f>188.17</f>
        <v/>
      </c>
      <c r="J603">
        <f>32402.91</f>
        <v/>
      </c>
    </row>
    <row r="604">
      <c r="A604" t="inlineStr">
        <is>
          <t>Total for Vantage Credit Card 3391</t>
        </is>
      </c>
      <c r="I604">
        <f>32402.91</f>
        <v/>
      </c>
    </row>
    <row r="605"/>
    <row r="606">
      <c r="A606" t="inlineStr">
        <is>
          <t>3000 Common Stock</t>
        </is>
      </c>
    </row>
    <row r="607">
      <c r="G607" t="inlineStr">
        <is>
          <t>Beginning Balance</t>
        </is>
      </c>
      <c r="J607">
        <f>0.00</f>
        <v/>
      </c>
    </row>
    <row r="608">
      <c r="B608" t="inlineStr">
        <is>
          <t>01/01/2025</t>
        </is>
      </c>
      <c r="C608" t="inlineStr">
        <is>
          <t>Deposit</t>
        </is>
      </c>
      <c r="D608" t="inlineStr"/>
      <c r="E608" t="inlineStr">
        <is>
          <t>Founders</t>
        </is>
      </c>
      <c r="F608" t="inlineStr">
        <is>
          <t>1,000,000 shares at 0.001 par</t>
        </is>
      </c>
      <c r="H608" t="inlineStr">
        <is>
          <t>-Split-</t>
        </is>
      </c>
      <c r="I608">
        <f>1000.00</f>
        <v/>
      </c>
      <c r="J608">
        <f>1000.00</f>
        <v/>
      </c>
    </row>
    <row r="609">
      <c r="A609" t="inlineStr">
        <is>
          <t>Total for 3000 Common Stock</t>
        </is>
      </c>
      <c r="I609">
        <f>1000.00</f>
        <v/>
      </c>
    </row>
    <row r="610"/>
    <row r="611">
      <c r="A611" t="inlineStr">
        <is>
          <t>3100 Additional Paid-In Capital</t>
        </is>
      </c>
    </row>
    <row r="612">
      <c r="G612" t="inlineStr">
        <is>
          <t>Beginning Balance</t>
        </is>
      </c>
      <c r="J612">
        <f>0.00</f>
        <v/>
      </c>
    </row>
    <row r="613">
      <c r="B613" t="inlineStr">
        <is>
          <t>01/01/2025</t>
        </is>
      </c>
      <c r="C613" t="inlineStr">
        <is>
          <t>Deposit</t>
        </is>
      </c>
      <c r="D613" t="inlineStr"/>
      <c r="E613" t="inlineStr">
        <is>
          <t>Founders</t>
        </is>
      </c>
      <c r="F613" t="inlineStr">
        <is>
          <t>Paid-in capital over par</t>
        </is>
      </c>
      <c r="H613" t="inlineStr">
        <is>
          <t>-Split-</t>
        </is>
      </c>
      <c r="I613">
        <f>24000.00</f>
        <v/>
      </c>
      <c r="J613">
        <f>24000.00</f>
        <v/>
      </c>
    </row>
    <row r="614">
      <c r="A614" t="inlineStr">
        <is>
          <t>Total for 3100 Additional Paid-In Capital</t>
        </is>
      </c>
      <c r="I614">
        <f>24000.00</f>
        <v/>
      </c>
    </row>
    <row r="615"/>
    <row r="616">
      <c r="A616" t="inlineStr">
        <is>
          <t>3200 Opening Balance Equity</t>
        </is>
      </c>
    </row>
    <row r="617">
      <c r="G617" t="inlineStr">
        <is>
          <t>Beginning Balance</t>
        </is>
      </c>
      <c r="J617">
        <f>0.00</f>
        <v/>
      </c>
    </row>
    <row r="618">
      <c r="B618" t="inlineStr">
        <is>
          <t>01/01/2025</t>
        </is>
      </c>
      <c r="C618" t="inlineStr">
        <is>
          <t>Journal Entry</t>
        </is>
      </c>
      <c r="D618" t="inlineStr">
        <is>
          <t>JE-1001</t>
        </is>
      </c>
      <c r="E618" t="inlineStr"/>
      <c r="F618" t="inlineStr">
        <is>
          <t>Opening balance, Vantage Card 3391</t>
        </is>
      </c>
      <c r="H618" t="inlineStr">
        <is>
          <t>2100 Vantage Card 3391</t>
        </is>
      </c>
      <c r="I618">
        <f>-4182.65</f>
        <v/>
      </c>
      <c r="J618">
        <f>-4182.65</f>
        <v/>
      </c>
    </row>
    <row r="619">
      <c r="A619" t="inlineStr">
        <is>
          <t>Total for 3200 Opening Balance Equity</t>
        </is>
      </c>
      <c r="I619">
        <f>-4182.65</f>
        <v/>
      </c>
    </row>
    <row r="620"/>
    <row r="621">
      <c r="A621" t="inlineStr">
        <is>
          <t>3300 SAFE - Simple Agreement for Future Equity</t>
        </is>
      </c>
    </row>
    <row r="622">
      <c r="G622" t="inlineStr">
        <is>
          <t>Beginning Balance</t>
        </is>
      </c>
      <c r="J622">
        <f>0.00</f>
        <v/>
      </c>
    </row>
    <row r="623">
      <c r="B623" t="inlineStr">
        <is>
          <t>01/02/2025</t>
        </is>
      </c>
      <c r="C623" t="inlineStr">
        <is>
          <t>Deposit</t>
        </is>
      </c>
      <c r="D623" t="inlineStr"/>
      <c r="E623" t="inlineStr">
        <is>
          <t>Harborlight Ventures</t>
        </is>
      </c>
      <c r="F623" t="inlineStr">
        <is>
          <t>SAFE, 8,000,000 post-money cap, no discount</t>
        </is>
      </c>
      <c r="H623" t="inlineStr">
        <is>
          <t>1010 Northgate Checking 7742</t>
        </is>
      </c>
      <c r="I623">
        <f>500000.00</f>
        <v/>
      </c>
      <c r="J623">
        <f>500000.00</f>
        <v/>
      </c>
    </row>
    <row r="624">
      <c r="B624" t="inlineStr">
        <is>
          <t>05/20/2025</t>
        </is>
      </c>
      <c r="C624" t="inlineStr">
        <is>
          <t>Deposit</t>
        </is>
      </c>
      <c r="D624" t="inlineStr"/>
      <c r="E624" t="inlineStr">
        <is>
          <t>Cedarline Partners</t>
        </is>
      </c>
      <c r="F624" t="inlineStr">
        <is>
          <t>SAFE, 12,000,000 post-money cap</t>
        </is>
      </c>
      <c r="H624" t="inlineStr">
        <is>
          <t>1010 Northgate Checking 7742</t>
        </is>
      </c>
      <c r="I624">
        <f>250000.00</f>
        <v/>
      </c>
      <c r="J624">
        <f>750000.00</f>
        <v/>
      </c>
    </row>
    <row r="625">
      <c r="A625" t="inlineStr">
        <is>
          <t>Total for 3300 SAFE - Simple Agreement for Future Equity</t>
        </is>
      </c>
      <c r="I625">
        <f>750000.00</f>
        <v/>
      </c>
    </row>
    <row r="626"/>
    <row r="627">
      <c r="A627" t="inlineStr">
        <is>
          <t>4000 Product Revenue</t>
        </is>
      </c>
    </row>
    <row r="628">
      <c r="G628" t="inlineStr">
        <is>
          <t>Beginning Balance</t>
        </is>
      </c>
      <c r="J628">
        <f>0.00</f>
        <v/>
      </c>
    </row>
    <row r="629">
      <c r="B629" t="inlineStr">
        <is>
          <t>01/10/2025</t>
        </is>
      </c>
      <c r="C629" t="inlineStr">
        <is>
          <t>Invoice</t>
        </is>
      </c>
      <c r="D629" t="inlineStr">
        <is>
          <t>INV-1000</t>
        </is>
      </c>
      <c r="E629" t="inlineStr">
        <is>
          <t>Volt Dynamics Inc</t>
        </is>
      </c>
      <c r="F629" t="inlineStr">
        <is>
          <t>INV-1000 robot cell</t>
        </is>
      </c>
      <c r="H629" t="inlineStr">
        <is>
          <t>1100 Accounts Receivable</t>
        </is>
      </c>
      <c r="I629">
        <f>29266.31</f>
        <v/>
      </c>
      <c r="J629">
        <f>29266.31</f>
        <v/>
      </c>
    </row>
    <row r="630">
      <c r="B630" t="inlineStr">
        <is>
          <t>01/31/2025</t>
        </is>
      </c>
      <c r="C630" t="inlineStr">
        <is>
          <t>Journal Entry</t>
        </is>
      </c>
      <c r="D630" t="inlineStr">
        <is>
          <t>JE-1002</t>
        </is>
      </c>
      <c r="E630" t="inlineStr">
        <is>
          <t>Paylane</t>
        </is>
      </c>
      <c r="F630" t="inlineStr">
        <is>
          <t>Paylane product sales 2025-01</t>
        </is>
      </c>
      <c r="H630" t="inlineStr">
        <is>
          <t>-Split-</t>
        </is>
      </c>
      <c r="I630">
        <f>23344.02</f>
        <v/>
      </c>
      <c r="J630">
        <f>52610.33</f>
        <v/>
      </c>
    </row>
    <row r="631">
      <c r="B631" t="inlineStr">
        <is>
          <t>02/10/2025</t>
        </is>
      </c>
      <c r="C631" t="inlineStr">
        <is>
          <t>Invoice</t>
        </is>
      </c>
      <c r="D631" t="inlineStr">
        <is>
          <t>INV-1002</t>
        </is>
      </c>
      <c r="E631" t="inlineStr">
        <is>
          <t>Helios Manufacturing LLC</t>
        </is>
      </c>
      <c r="F631" t="inlineStr">
        <is>
          <t>INV-1002 robot cell</t>
        </is>
      </c>
      <c r="H631" t="inlineStr">
        <is>
          <t>1100 Accounts Receivable</t>
        </is>
      </c>
      <c r="I631">
        <f>30738.17</f>
        <v/>
      </c>
      <c r="J631">
        <f>83348.50</f>
        <v/>
      </c>
    </row>
    <row r="632">
      <c r="B632" t="inlineStr">
        <is>
          <t>02/28/2025</t>
        </is>
      </c>
      <c r="C632" t="inlineStr">
        <is>
          <t>Journal Entry</t>
        </is>
      </c>
      <c r="D632" t="inlineStr">
        <is>
          <t>JE-1005</t>
        </is>
      </c>
      <c r="E632" t="inlineStr">
        <is>
          <t>Paylane</t>
        </is>
      </c>
      <c r="F632" t="inlineStr">
        <is>
          <t>Paylane product sales 2025-02</t>
        </is>
      </c>
      <c r="H632" t="inlineStr">
        <is>
          <t>-Split-</t>
        </is>
      </c>
      <c r="I632">
        <f>25119.93</f>
        <v/>
      </c>
      <c r="J632">
        <f>108468.43</f>
        <v/>
      </c>
    </row>
    <row r="633">
      <c r="B633" t="inlineStr">
        <is>
          <t>03/10/2025</t>
        </is>
      </c>
      <c r="C633" t="inlineStr">
        <is>
          <t>Invoice</t>
        </is>
      </c>
      <c r="D633" t="inlineStr">
        <is>
          <t>INV-1004</t>
        </is>
      </c>
      <c r="E633" t="inlineStr">
        <is>
          <t>Meridian Automation Co</t>
        </is>
      </c>
      <c r="F633" t="inlineStr">
        <is>
          <t>INV-1004 robot cell</t>
        </is>
      </c>
      <c r="H633" t="inlineStr">
        <is>
          <t>1100 Accounts Receivable</t>
        </is>
      </c>
      <c r="I633">
        <f>34853.19</f>
        <v/>
      </c>
      <c r="J633">
        <f>143321.62</f>
        <v/>
      </c>
    </row>
    <row r="634">
      <c r="B634" t="inlineStr">
        <is>
          <t>03/31/2025</t>
        </is>
      </c>
      <c r="C634" t="inlineStr">
        <is>
          <t>Journal Entry</t>
        </is>
      </c>
      <c r="D634" t="inlineStr">
        <is>
          <t>JE-1009</t>
        </is>
      </c>
      <c r="E634" t="inlineStr">
        <is>
          <t>Paylane</t>
        </is>
      </c>
      <c r="F634" t="inlineStr">
        <is>
          <t>Paylane product sales 2025-03</t>
        </is>
      </c>
      <c r="H634" t="inlineStr">
        <is>
          <t>-Split-</t>
        </is>
      </c>
      <c r="I634">
        <f>27739.56</f>
        <v/>
      </c>
      <c r="J634">
        <f>171061.18</f>
        <v/>
      </c>
    </row>
    <row r="635">
      <c r="B635" t="inlineStr">
        <is>
          <t>04/10/2025</t>
        </is>
      </c>
      <c r="C635" t="inlineStr">
        <is>
          <t>Invoice</t>
        </is>
      </c>
      <c r="D635" t="inlineStr">
        <is>
          <t>INV-1006</t>
        </is>
      </c>
      <c r="E635" t="inlineStr">
        <is>
          <t>Corvus Labs Inc</t>
        </is>
      </c>
      <c r="F635" t="inlineStr">
        <is>
          <t>INV-1006 robot cell</t>
        </is>
      </c>
      <c r="H635" t="inlineStr">
        <is>
          <t>1100 Accounts Receivable</t>
        </is>
      </c>
      <c r="I635">
        <f>37063.32</f>
        <v/>
      </c>
      <c r="J635">
        <f>208124.50</f>
        <v/>
      </c>
    </row>
    <row r="636">
      <c r="B636" t="inlineStr">
        <is>
          <t>04/30/2025</t>
        </is>
      </c>
      <c r="C636" t="inlineStr">
        <is>
          <t>Journal Entry</t>
        </is>
      </c>
      <c r="D636" t="inlineStr">
        <is>
          <t>JE-1014</t>
        </is>
      </c>
      <c r="E636" t="inlineStr">
        <is>
          <t>Paylane</t>
        </is>
      </c>
      <c r="F636" t="inlineStr">
        <is>
          <t>Paylane product sales 2025-04</t>
        </is>
      </c>
      <c r="H636" t="inlineStr">
        <is>
          <t>-Split-</t>
        </is>
      </c>
      <c r="I636">
        <f>27931.42</f>
        <v/>
      </c>
      <c r="J636">
        <f>236055.92</f>
        <v/>
      </c>
    </row>
    <row r="637">
      <c r="B637" t="inlineStr">
        <is>
          <t>05/10/2025</t>
        </is>
      </c>
      <c r="C637" t="inlineStr">
        <is>
          <t>Invoice</t>
        </is>
      </c>
      <c r="D637" t="inlineStr">
        <is>
          <t>INV-1008</t>
        </is>
      </c>
      <c r="E637" t="inlineStr">
        <is>
          <t>Volt Dynamics Inc</t>
        </is>
      </c>
      <c r="F637" t="inlineStr">
        <is>
          <t>INV-1008 robot cell</t>
        </is>
      </c>
      <c r="H637" t="inlineStr">
        <is>
          <t>1100 Accounts Receivable</t>
        </is>
      </c>
      <c r="I637">
        <f>37846.45</f>
        <v/>
      </c>
      <c r="J637">
        <f>273902.37</f>
        <v/>
      </c>
    </row>
    <row r="638">
      <c r="B638" t="inlineStr">
        <is>
          <t>05/31/2025</t>
        </is>
      </c>
      <c r="C638" t="inlineStr">
        <is>
          <t>Journal Entry</t>
        </is>
      </c>
      <c r="D638" t="inlineStr">
        <is>
          <t>JE-1019</t>
        </is>
      </c>
      <c r="E638" t="inlineStr">
        <is>
          <t>Paylane</t>
        </is>
      </c>
      <c r="F638" t="inlineStr">
        <is>
          <t>Paylane product sales 2025-05</t>
        </is>
      </c>
      <c r="H638" t="inlineStr">
        <is>
          <t>-Split-</t>
        </is>
      </c>
      <c r="I638">
        <f>29276.11</f>
        <v/>
      </c>
      <c r="J638">
        <f>303178.48</f>
        <v/>
      </c>
    </row>
    <row r="639">
      <c r="B639" t="inlineStr">
        <is>
          <t>06/10/2025</t>
        </is>
      </c>
      <c r="C639" t="inlineStr">
        <is>
          <t>Invoice</t>
        </is>
      </c>
      <c r="D639" t="inlineStr">
        <is>
          <t>INV-1010</t>
        </is>
      </c>
      <c r="E639" t="inlineStr">
        <is>
          <t>Helios Manufacturing LLC</t>
        </is>
      </c>
      <c r="F639" t="inlineStr">
        <is>
          <t>INV-1010 robot cell</t>
        </is>
      </c>
      <c r="H639" t="inlineStr">
        <is>
          <t>1100 Accounts Receivable</t>
        </is>
      </c>
      <c r="I639">
        <f>40356.02</f>
        <v/>
      </c>
      <c r="J639">
        <f>343534.50</f>
        <v/>
      </c>
    </row>
    <row r="640">
      <c r="B640" t="inlineStr">
        <is>
          <t>06/30/2025</t>
        </is>
      </c>
      <c r="C640" t="inlineStr">
        <is>
          <t>Journal Entry</t>
        </is>
      </c>
      <c r="D640" t="inlineStr">
        <is>
          <t>JE-1024</t>
        </is>
      </c>
      <c r="E640" t="inlineStr">
        <is>
          <t>Paylane</t>
        </is>
      </c>
      <c r="F640" t="inlineStr">
        <is>
          <t>Paylane product sales 2025-06</t>
        </is>
      </c>
      <c r="H640" t="inlineStr">
        <is>
          <t>-Split-</t>
        </is>
      </c>
      <c r="I640">
        <f>31636.72</f>
        <v/>
      </c>
      <c r="J640">
        <f>375171.22</f>
        <v/>
      </c>
    </row>
    <row r="641">
      <c r="B641" t="inlineStr">
        <is>
          <t>07/10/2025</t>
        </is>
      </c>
      <c r="C641" t="inlineStr">
        <is>
          <t>Invoice</t>
        </is>
      </c>
      <c r="D641" t="inlineStr">
        <is>
          <t>INV-1012</t>
        </is>
      </c>
      <c r="E641" t="inlineStr">
        <is>
          <t>Meridian Automation Co</t>
        </is>
      </c>
      <c r="F641" t="inlineStr">
        <is>
          <t>INV-1012 robot cell</t>
        </is>
      </c>
      <c r="H641" t="inlineStr">
        <is>
          <t>1100 Accounts Receivable</t>
        </is>
      </c>
      <c r="I641">
        <f>41415.68</f>
        <v/>
      </c>
      <c r="J641">
        <f>416586.90</f>
        <v/>
      </c>
    </row>
    <row r="642">
      <c r="B642" t="inlineStr">
        <is>
          <t>07/31/2025</t>
        </is>
      </c>
      <c r="C642" t="inlineStr">
        <is>
          <t>Journal Entry</t>
        </is>
      </c>
      <c r="D642" t="inlineStr">
        <is>
          <t>JE-1029</t>
        </is>
      </c>
      <c r="E642" t="inlineStr">
        <is>
          <t>Paylane</t>
        </is>
      </c>
      <c r="F642" t="inlineStr">
        <is>
          <t>Paylane product sales 2025-07</t>
        </is>
      </c>
      <c r="H642" t="inlineStr">
        <is>
          <t>-Split-</t>
        </is>
      </c>
      <c r="I642">
        <f>33604.12</f>
        <v/>
      </c>
      <c r="J642">
        <f>450191.02</f>
        <v/>
      </c>
    </row>
    <row r="643">
      <c r="B643" t="inlineStr">
        <is>
          <t>08/10/2025</t>
        </is>
      </c>
      <c r="C643" t="inlineStr">
        <is>
          <t>Invoice</t>
        </is>
      </c>
      <c r="D643" t="inlineStr">
        <is>
          <t>INV-1014</t>
        </is>
      </c>
      <c r="E643" t="inlineStr">
        <is>
          <t>Corvus Labs Inc</t>
        </is>
      </c>
      <c r="F643" t="inlineStr">
        <is>
          <t>INV-1014 robot cell</t>
        </is>
      </c>
      <c r="H643" t="inlineStr">
        <is>
          <t>1100 Accounts Receivable</t>
        </is>
      </c>
      <c r="I643">
        <f>43747.27</f>
        <v/>
      </c>
      <c r="J643">
        <f>493938.29</f>
        <v/>
      </c>
    </row>
    <row r="644">
      <c r="B644" t="inlineStr">
        <is>
          <t>08/31/2025</t>
        </is>
      </c>
      <c r="C644" t="inlineStr">
        <is>
          <t>Journal Entry</t>
        </is>
      </c>
      <c r="D644" t="inlineStr">
        <is>
          <t>JE-1033</t>
        </is>
      </c>
      <c r="E644" t="inlineStr">
        <is>
          <t>Paylane</t>
        </is>
      </c>
      <c r="F644" t="inlineStr">
        <is>
          <t>Paylane product sales 2025-08</t>
        </is>
      </c>
      <c r="H644" t="inlineStr">
        <is>
          <t>-Split-</t>
        </is>
      </c>
      <c r="I644">
        <f>33901.28</f>
        <v/>
      </c>
      <c r="J644">
        <f>527839.57</f>
        <v/>
      </c>
    </row>
    <row r="645">
      <c r="B645" t="inlineStr">
        <is>
          <t>09/10/2025</t>
        </is>
      </c>
      <c r="C645" t="inlineStr">
        <is>
          <t>Invoice</t>
        </is>
      </c>
      <c r="D645" t="inlineStr">
        <is>
          <t>INV-1016</t>
        </is>
      </c>
      <c r="E645" t="inlineStr">
        <is>
          <t>Volt Dynamics Inc</t>
        </is>
      </c>
      <c r="F645" t="inlineStr">
        <is>
          <t>INV-1016 robot cell</t>
        </is>
      </c>
      <c r="H645" t="inlineStr">
        <is>
          <t>1100 Accounts Receivable</t>
        </is>
      </c>
      <c r="I645">
        <f>45946.26</f>
        <v/>
      </c>
      <c r="J645">
        <f>573785.83</f>
        <v/>
      </c>
    </row>
    <row r="646">
      <c r="B646" t="inlineStr">
        <is>
          <t>10/10/2025</t>
        </is>
      </c>
      <c r="C646" t="inlineStr">
        <is>
          <t>Invoice</t>
        </is>
      </c>
      <c r="D646" t="inlineStr">
        <is>
          <t>INV-1018</t>
        </is>
      </c>
      <c r="E646" t="inlineStr">
        <is>
          <t>Helios Manufacturing LLC</t>
        </is>
      </c>
      <c r="F646" t="inlineStr">
        <is>
          <t>INV-1018 robot cell</t>
        </is>
      </c>
      <c r="H646" t="inlineStr">
        <is>
          <t>1100 Accounts Receivable</t>
        </is>
      </c>
      <c r="I646">
        <f>46582.55</f>
        <v/>
      </c>
      <c r="J646">
        <f>620368.38</f>
        <v/>
      </c>
    </row>
    <row r="647">
      <c r="B647" t="inlineStr">
        <is>
          <t>11/10/2025</t>
        </is>
      </c>
      <c r="C647" t="inlineStr">
        <is>
          <t>Invoice</t>
        </is>
      </c>
      <c r="D647" t="inlineStr">
        <is>
          <t>INV-1020</t>
        </is>
      </c>
      <c r="E647" t="inlineStr">
        <is>
          <t>Meridian Automation Co</t>
        </is>
      </c>
      <c r="F647" t="inlineStr">
        <is>
          <t>INV-1020 robot cell</t>
        </is>
      </c>
      <c r="H647" t="inlineStr">
        <is>
          <t>1100 Accounts Receivable</t>
        </is>
      </c>
      <c r="I647">
        <f>49219.43</f>
        <v/>
      </c>
      <c r="J647">
        <f>669587.81</f>
        <v/>
      </c>
    </row>
    <row r="648">
      <c r="B648" t="inlineStr">
        <is>
          <t>12/10/2025</t>
        </is>
      </c>
      <c r="C648" t="inlineStr">
        <is>
          <t>Invoice</t>
        </is>
      </c>
      <c r="D648" t="inlineStr">
        <is>
          <t>INV-1022</t>
        </is>
      </c>
      <c r="E648" t="inlineStr">
        <is>
          <t>Corvus Labs Inc</t>
        </is>
      </c>
      <c r="F648" t="inlineStr">
        <is>
          <t>INV-1022 robot cell</t>
        </is>
      </c>
      <c r="H648" t="inlineStr">
        <is>
          <t>1100 Accounts Receivable</t>
        </is>
      </c>
      <c r="I648">
        <f>52357.19</f>
        <v/>
      </c>
      <c r="J648">
        <f>721945.00</f>
        <v/>
      </c>
    </row>
    <row r="649">
      <c r="A649" t="inlineStr">
        <is>
          <t>Total for 4000 Product Revenue</t>
        </is>
      </c>
      <c r="I649">
        <f>721945.00</f>
        <v/>
      </c>
    </row>
    <row r="650"/>
    <row r="651">
      <c r="A651" t="inlineStr">
        <is>
          <t>4100 Service Revenue</t>
        </is>
      </c>
    </row>
    <row r="652">
      <c r="G652" t="inlineStr">
        <is>
          <t>Beginning Balance</t>
        </is>
      </c>
      <c r="J652">
        <f>0.00</f>
        <v/>
      </c>
    </row>
    <row r="653">
      <c r="B653" t="inlineStr">
        <is>
          <t>01/10/2025</t>
        </is>
      </c>
      <c r="C653" t="inlineStr">
        <is>
          <t>Invoice</t>
        </is>
      </c>
      <c r="D653" t="inlineStr">
        <is>
          <t>INV-1001</t>
        </is>
      </c>
      <c r="E653" t="inlineStr">
        <is>
          <t>Volt Dynamics Inc</t>
        </is>
      </c>
      <c r="F653" t="inlineStr">
        <is>
          <t>INV-1001 support plan</t>
        </is>
      </c>
      <c r="H653" t="inlineStr">
        <is>
          <t>1100 Accounts Receivable</t>
        </is>
      </c>
      <c r="I653">
        <f>6500.00</f>
        <v/>
      </c>
      <c r="J653">
        <f>6500.00</f>
        <v/>
      </c>
    </row>
    <row r="654">
      <c r="B654" t="inlineStr">
        <is>
          <t>02/10/2025</t>
        </is>
      </c>
      <c r="C654" t="inlineStr">
        <is>
          <t>Invoice</t>
        </is>
      </c>
      <c r="D654" t="inlineStr">
        <is>
          <t>INV-1003</t>
        </is>
      </c>
      <c r="E654" t="inlineStr">
        <is>
          <t>Helios Manufacturing LLC</t>
        </is>
      </c>
      <c r="F654" t="inlineStr">
        <is>
          <t>INV-1003 support plan</t>
        </is>
      </c>
      <c r="H654" t="inlineStr">
        <is>
          <t>1100 Accounts Receivable</t>
        </is>
      </c>
      <c r="I654">
        <f>6750.00</f>
        <v/>
      </c>
      <c r="J654">
        <f>13250.00</f>
        <v/>
      </c>
    </row>
    <row r="655">
      <c r="B655" t="inlineStr">
        <is>
          <t>03/10/2025</t>
        </is>
      </c>
      <c r="C655" t="inlineStr">
        <is>
          <t>Invoice</t>
        </is>
      </c>
      <c r="D655" t="inlineStr">
        <is>
          <t>INV-1005</t>
        </is>
      </c>
      <c r="E655" t="inlineStr">
        <is>
          <t>Meridian Automation Co</t>
        </is>
      </c>
      <c r="F655" t="inlineStr">
        <is>
          <t>INV-1005 support plan</t>
        </is>
      </c>
      <c r="H655" t="inlineStr">
        <is>
          <t>1100 Accounts Receivable</t>
        </is>
      </c>
      <c r="I655">
        <f>7000.00</f>
        <v/>
      </c>
      <c r="J655">
        <f>20250.00</f>
        <v/>
      </c>
    </row>
    <row r="656">
      <c r="B656" t="inlineStr">
        <is>
          <t>04/10/2025</t>
        </is>
      </c>
      <c r="C656" t="inlineStr">
        <is>
          <t>Invoice</t>
        </is>
      </c>
      <c r="D656" t="inlineStr">
        <is>
          <t>INV-1007</t>
        </is>
      </c>
      <c r="E656" t="inlineStr">
        <is>
          <t>Corvus Labs Inc</t>
        </is>
      </c>
      <c r="F656" t="inlineStr">
        <is>
          <t>INV-1007 support plan</t>
        </is>
      </c>
      <c r="H656" t="inlineStr">
        <is>
          <t>1100 Accounts Receivable</t>
        </is>
      </c>
      <c r="I656">
        <f>7250.00</f>
        <v/>
      </c>
      <c r="J656">
        <f>27500.00</f>
        <v/>
      </c>
    </row>
    <row r="657">
      <c r="B657" t="inlineStr">
        <is>
          <t>05/10/2025</t>
        </is>
      </c>
      <c r="C657" t="inlineStr">
        <is>
          <t>Invoice</t>
        </is>
      </c>
      <c r="D657" t="inlineStr">
        <is>
          <t>INV-1009</t>
        </is>
      </c>
      <c r="E657" t="inlineStr">
        <is>
          <t>Volt Dynamics Inc</t>
        </is>
      </c>
      <c r="F657" t="inlineStr">
        <is>
          <t>INV-1009 support plan</t>
        </is>
      </c>
      <c r="H657" t="inlineStr">
        <is>
          <t>1100 Accounts Receivable</t>
        </is>
      </c>
      <c r="I657">
        <f>7500.00</f>
        <v/>
      </c>
      <c r="J657">
        <f>35000.00</f>
        <v/>
      </c>
    </row>
    <row r="658">
      <c r="B658" t="inlineStr">
        <is>
          <t>06/10/2025</t>
        </is>
      </c>
      <c r="C658" t="inlineStr">
        <is>
          <t>Invoice</t>
        </is>
      </c>
      <c r="D658" t="inlineStr">
        <is>
          <t>INV-1011</t>
        </is>
      </c>
      <c r="E658" t="inlineStr">
        <is>
          <t>Helios Manufacturing LLC</t>
        </is>
      </c>
      <c r="F658" t="inlineStr">
        <is>
          <t>INV-1011 support plan</t>
        </is>
      </c>
      <c r="H658" t="inlineStr">
        <is>
          <t>1100 Accounts Receivable</t>
        </is>
      </c>
      <c r="I658">
        <f>7750.00</f>
        <v/>
      </c>
      <c r="J658">
        <f>42750.00</f>
        <v/>
      </c>
    </row>
    <row r="659">
      <c r="B659" t="inlineStr">
        <is>
          <t>07/10/2025</t>
        </is>
      </c>
      <c r="C659" t="inlineStr">
        <is>
          <t>Invoice</t>
        </is>
      </c>
      <c r="D659" t="inlineStr">
        <is>
          <t>INV-1013</t>
        </is>
      </c>
      <c r="E659" t="inlineStr">
        <is>
          <t>Meridian Automation Co</t>
        </is>
      </c>
      <c r="F659" t="inlineStr">
        <is>
          <t>INV-1013 support plan</t>
        </is>
      </c>
      <c r="H659" t="inlineStr">
        <is>
          <t>1100 Accounts Receivable</t>
        </is>
      </c>
      <c r="I659">
        <f>8000.00</f>
        <v/>
      </c>
      <c r="J659">
        <f>50750.00</f>
        <v/>
      </c>
    </row>
    <row r="660">
      <c r="B660" t="inlineStr">
        <is>
          <t>08/10/2025</t>
        </is>
      </c>
      <c r="C660" t="inlineStr">
        <is>
          <t>Invoice</t>
        </is>
      </c>
      <c r="D660" t="inlineStr">
        <is>
          <t>INV-1015</t>
        </is>
      </c>
      <c r="E660" t="inlineStr">
        <is>
          <t>Corvus Labs Inc</t>
        </is>
      </c>
      <c r="F660" t="inlineStr">
        <is>
          <t>INV-1015 support plan</t>
        </is>
      </c>
      <c r="H660" t="inlineStr">
        <is>
          <t>1100 Accounts Receivable</t>
        </is>
      </c>
      <c r="I660">
        <f>8250.00</f>
        <v/>
      </c>
      <c r="J660">
        <f>59000.00</f>
        <v/>
      </c>
    </row>
    <row r="661">
      <c r="B661" t="inlineStr">
        <is>
          <t>09/10/2025</t>
        </is>
      </c>
      <c r="C661" t="inlineStr">
        <is>
          <t>Invoice</t>
        </is>
      </c>
      <c r="D661" t="inlineStr">
        <is>
          <t>INV-1017</t>
        </is>
      </c>
      <c r="E661" t="inlineStr">
        <is>
          <t>Volt Dynamics Inc</t>
        </is>
      </c>
      <c r="F661" t="inlineStr">
        <is>
          <t>INV-1017 support plan</t>
        </is>
      </c>
      <c r="H661" t="inlineStr">
        <is>
          <t>1100 Accounts Receivable</t>
        </is>
      </c>
      <c r="I661">
        <f>8500.00</f>
        <v/>
      </c>
      <c r="J661">
        <f>67500.00</f>
        <v/>
      </c>
    </row>
    <row r="662">
      <c r="B662" t="inlineStr">
        <is>
          <t>10/10/2025</t>
        </is>
      </c>
      <c r="C662" t="inlineStr">
        <is>
          <t>Invoice</t>
        </is>
      </c>
      <c r="D662" t="inlineStr">
        <is>
          <t>INV-1019</t>
        </is>
      </c>
      <c r="E662" t="inlineStr">
        <is>
          <t>Helios Manufacturing LLC</t>
        </is>
      </c>
      <c r="F662" t="inlineStr">
        <is>
          <t>INV-1019 support plan</t>
        </is>
      </c>
      <c r="H662" t="inlineStr">
        <is>
          <t>1100 Accounts Receivable</t>
        </is>
      </c>
      <c r="I662">
        <f>8750.00</f>
        <v/>
      </c>
      <c r="J662">
        <f>76250.00</f>
        <v/>
      </c>
    </row>
    <row r="663">
      <c r="B663" t="inlineStr">
        <is>
          <t>11/10/2025</t>
        </is>
      </c>
      <c r="C663" t="inlineStr">
        <is>
          <t>Invoice</t>
        </is>
      </c>
      <c r="D663" t="inlineStr">
        <is>
          <t>INV-1021</t>
        </is>
      </c>
      <c r="E663" t="inlineStr">
        <is>
          <t>Meridian Automation Co</t>
        </is>
      </c>
      <c r="F663" t="inlineStr">
        <is>
          <t>INV-1021 support plan</t>
        </is>
      </c>
      <c r="H663" t="inlineStr">
        <is>
          <t>1100 Accounts Receivable</t>
        </is>
      </c>
      <c r="I663">
        <f>9000.00</f>
        <v/>
      </c>
      <c r="J663">
        <f>85250.00</f>
        <v/>
      </c>
    </row>
    <row r="664">
      <c r="B664" t="inlineStr">
        <is>
          <t>12/10/2025</t>
        </is>
      </c>
      <c r="C664" t="inlineStr">
        <is>
          <t>Invoice</t>
        </is>
      </c>
      <c r="D664" t="inlineStr">
        <is>
          <t>INV-1023</t>
        </is>
      </c>
      <c r="E664" t="inlineStr">
        <is>
          <t>Corvus Labs Inc</t>
        </is>
      </c>
      <c r="F664" t="inlineStr">
        <is>
          <t>INV-1023 support plan</t>
        </is>
      </c>
      <c r="H664" t="inlineStr">
        <is>
          <t>1100 Accounts Receivable</t>
        </is>
      </c>
      <c r="I664">
        <f>9250.00</f>
        <v/>
      </c>
      <c r="J664">
        <f>94500.00</f>
        <v/>
      </c>
    </row>
    <row r="665">
      <c r="A665" t="inlineStr">
        <is>
          <t>Total for 4100 Service Revenue</t>
        </is>
      </c>
      <c r="I665">
        <f>94500.00</f>
        <v/>
      </c>
    </row>
    <row r="666"/>
    <row r="667">
      <c r="A667" t="inlineStr">
        <is>
          <t>4900 Interest Income</t>
        </is>
      </c>
    </row>
    <row r="668">
      <c r="G668" t="inlineStr">
        <is>
          <t>Beginning Balance</t>
        </is>
      </c>
      <c r="J668">
        <f>0.00</f>
        <v/>
      </c>
    </row>
    <row r="669">
      <c r="B669" t="inlineStr">
        <is>
          <t>01/31/2025</t>
        </is>
      </c>
      <c r="C669" t="inlineStr">
        <is>
          <t>Deposit</t>
        </is>
      </c>
      <c r="D669" t="inlineStr"/>
      <c r="E669" t="inlineStr">
        <is>
          <t>Northgate Bank</t>
        </is>
      </c>
      <c r="F669" t="inlineStr">
        <is>
          <t>Savings interest 2025-01</t>
        </is>
      </c>
      <c r="H669" t="inlineStr">
        <is>
          <t>1020 Northgate Savings 7809</t>
        </is>
      </c>
      <c r="I669">
        <f>2.00</f>
        <v/>
      </c>
      <c r="J669">
        <f>2.00</f>
        <v/>
      </c>
    </row>
    <row r="670">
      <c r="B670" t="inlineStr">
        <is>
          <t>02/28/2025</t>
        </is>
      </c>
      <c r="C670" t="inlineStr">
        <is>
          <t>Deposit</t>
        </is>
      </c>
      <c r="D670" t="inlineStr"/>
      <c r="E670" t="inlineStr">
        <is>
          <t>Northgate Bank</t>
        </is>
      </c>
      <c r="F670" t="inlineStr">
        <is>
          <t>Savings interest 2025-02</t>
        </is>
      </c>
      <c r="H670" t="inlineStr">
        <is>
          <t>1020 Northgate Savings 7809</t>
        </is>
      </c>
      <c r="I670">
        <f>4.00</f>
        <v/>
      </c>
      <c r="J670">
        <f>6.00</f>
        <v/>
      </c>
    </row>
    <row r="671">
      <c r="B671" t="inlineStr">
        <is>
          <t>03/31/2025</t>
        </is>
      </c>
      <c r="C671" t="inlineStr">
        <is>
          <t>Deposit</t>
        </is>
      </c>
      <c r="D671" t="inlineStr"/>
      <c r="E671" t="inlineStr">
        <is>
          <t>Northgate Bank</t>
        </is>
      </c>
      <c r="F671" t="inlineStr">
        <is>
          <t>Savings interest 2025-03</t>
        </is>
      </c>
      <c r="H671" t="inlineStr">
        <is>
          <t>1020 Northgate Savings 7809</t>
        </is>
      </c>
      <c r="I671">
        <f>6.00</f>
        <v/>
      </c>
      <c r="J671">
        <f>12.00</f>
        <v/>
      </c>
    </row>
    <row r="672">
      <c r="B672" t="inlineStr">
        <is>
          <t>04/30/2025</t>
        </is>
      </c>
      <c r="C672" t="inlineStr">
        <is>
          <t>Deposit</t>
        </is>
      </c>
      <c r="D672" t="inlineStr"/>
      <c r="E672" t="inlineStr">
        <is>
          <t>Northgate Bank</t>
        </is>
      </c>
      <c r="F672" t="inlineStr">
        <is>
          <t>Savings interest 2025-04</t>
        </is>
      </c>
      <c r="H672" t="inlineStr">
        <is>
          <t>1020 Northgate Savings 7809</t>
        </is>
      </c>
      <c r="I672">
        <f>8.00</f>
        <v/>
      </c>
      <c r="J672">
        <f>20.00</f>
        <v/>
      </c>
    </row>
    <row r="673">
      <c r="B673" t="inlineStr">
        <is>
          <t>05/31/2025</t>
        </is>
      </c>
      <c r="C673" t="inlineStr">
        <is>
          <t>Deposit</t>
        </is>
      </c>
      <c r="D673" t="inlineStr"/>
      <c r="E673" t="inlineStr">
        <is>
          <t>Northgate Bank</t>
        </is>
      </c>
      <c r="F673" t="inlineStr">
        <is>
          <t>Savings interest 2025-05</t>
        </is>
      </c>
      <c r="H673" t="inlineStr">
        <is>
          <t>1020 Northgate Savings 7809</t>
        </is>
      </c>
      <c r="I673">
        <f>10.01</f>
        <v/>
      </c>
      <c r="J673">
        <f>30.01</f>
        <v/>
      </c>
    </row>
    <row r="674">
      <c r="B674" t="inlineStr">
        <is>
          <t>06/30/2025</t>
        </is>
      </c>
      <c r="C674" t="inlineStr">
        <is>
          <t>Deposit</t>
        </is>
      </c>
      <c r="D674" t="inlineStr"/>
      <c r="E674" t="inlineStr">
        <is>
          <t>Northgate Bank</t>
        </is>
      </c>
      <c r="F674" t="inlineStr">
        <is>
          <t>Savings interest 2025-06</t>
        </is>
      </c>
      <c r="H674" t="inlineStr">
        <is>
          <t>1020 Northgate Savings 7809</t>
        </is>
      </c>
      <c r="I674">
        <f>12.01</f>
        <v/>
      </c>
      <c r="J674">
        <f>42.02</f>
        <v/>
      </c>
    </row>
    <row r="675">
      <c r="B675" t="inlineStr">
        <is>
          <t>07/31/2025</t>
        </is>
      </c>
      <c r="C675" t="inlineStr">
        <is>
          <t>Deposit</t>
        </is>
      </c>
      <c r="D675" t="inlineStr"/>
      <c r="E675" t="inlineStr">
        <is>
          <t>Northgate Bank</t>
        </is>
      </c>
      <c r="F675" t="inlineStr">
        <is>
          <t>Savings interest 2025-07</t>
        </is>
      </c>
      <c r="H675" t="inlineStr">
        <is>
          <t>1020 Northgate Savings 7809</t>
        </is>
      </c>
      <c r="I675">
        <f>14.02</f>
        <v/>
      </c>
      <c r="J675">
        <f>56.04</f>
        <v/>
      </c>
    </row>
    <row r="676">
      <c r="B676" t="inlineStr">
        <is>
          <t>08/31/2025</t>
        </is>
      </c>
      <c r="C676" t="inlineStr">
        <is>
          <t>Deposit</t>
        </is>
      </c>
      <c r="D676" t="inlineStr"/>
      <c r="E676" t="inlineStr">
        <is>
          <t>Northgate Bank</t>
        </is>
      </c>
      <c r="F676" t="inlineStr">
        <is>
          <t>Savings interest 2025-08</t>
        </is>
      </c>
      <c r="H676" t="inlineStr">
        <is>
          <t>1020 Northgate Savings 7809</t>
        </is>
      </c>
      <c r="I676">
        <f>16.02</f>
        <v/>
      </c>
      <c r="J676">
        <f>72.06</f>
        <v/>
      </c>
    </row>
    <row r="677">
      <c r="B677" t="inlineStr">
        <is>
          <t>09/30/2025</t>
        </is>
      </c>
      <c r="C677" t="inlineStr">
        <is>
          <t>Deposit</t>
        </is>
      </c>
      <c r="D677" t="inlineStr"/>
      <c r="E677" t="inlineStr">
        <is>
          <t>Northgate Bank</t>
        </is>
      </c>
      <c r="F677" t="inlineStr">
        <is>
          <t>Savings interest 2025-09</t>
        </is>
      </c>
      <c r="H677" t="inlineStr">
        <is>
          <t>1020 Northgate Savings 7809</t>
        </is>
      </c>
      <c r="I677">
        <f>18.03</f>
        <v/>
      </c>
      <c r="J677">
        <f>90.09</f>
        <v/>
      </c>
    </row>
    <row r="678">
      <c r="A678" t="inlineStr">
        <is>
          <t>Total for 4900 Interest Income</t>
        </is>
      </c>
      <c r="I678">
        <f>90.09</f>
        <v/>
      </c>
    </row>
    <row r="679"/>
    <row r="680">
      <c r="A680" t="inlineStr">
        <is>
          <t>5000 Cost of Goods Sold - Components</t>
        </is>
      </c>
    </row>
    <row r="681">
      <c r="G681" t="inlineStr">
        <is>
          <t>Beginning Balance</t>
        </is>
      </c>
      <c r="J681">
        <f>0.00</f>
        <v/>
      </c>
    </row>
    <row r="682">
      <c r="B682" t="inlineStr">
        <is>
          <t>01/20/2025</t>
        </is>
      </c>
      <c r="C682" t="inlineStr">
        <is>
          <t>Bill</t>
        </is>
      </c>
      <c r="D682" t="inlineStr">
        <is>
          <t>NWS-4400</t>
        </is>
      </c>
      <c r="E682" t="inlineStr">
        <is>
          <t>Northwind Supply</t>
        </is>
      </c>
      <c r="F682" t="inlineStr">
        <is>
          <t>NWS-4400 components</t>
        </is>
      </c>
      <c r="H682" t="inlineStr">
        <is>
          <t>2010 Accounts Payable</t>
        </is>
      </c>
      <c r="I682">
        <f>9231.03</f>
        <v/>
      </c>
      <c r="J682">
        <f>9231.03</f>
        <v/>
      </c>
    </row>
    <row r="683">
      <c r="B683" t="inlineStr">
        <is>
          <t>02/08/2025</t>
        </is>
      </c>
      <c r="C683" t="inlineStr">
        <is>
          <t>Expense</t>
        </is>
      </c>
      <c r="D683" t="inlineStr"/>
      <c r="E683" t="inlineStr">
        <is>
          <t>Northwind Supply</t>
        </is>
      </c>
      <c r="F683" t="inlineStr">
        <is>
          <t>Northwind Supply invoice 32837</t>
        </is>
      </c>
      <c r="H683" t="inlineStr">
        <is>
          <t>1010 Northgate Checking 7742</t>
        </is>
      </c>
      <c r="I683">
        <f>792.10</f>
        <v/>
      </c>
      <c r="J683">
        <f>10023.13</f>
        <v/>
      </c>
    </row>
    <row r="684">
      <c r="B684" t="inlineStr">
        <is>
          <t>02/10/2025</t>
        </is>
      </c>
      <c r="C684" t="inlineStr">
        <is>
          <t>Expense</t>
        </is>
      </c>
      <c r="D684" t="inlineStr"/>
      <c r="E684" t="inlineStr">
        <is>
          <t>Northwind Supply</t>
        </is>
      </c>
      <c r="F684" t="inlineStr">
        <is>
          <t>Northwind Supply invoice 58107</t>
        </is>
      </c>
      <c r="H684" t="inlineStr">
        <is>
          <t>1010 Northgate Checking 7742</t>
        </is>
      </c>
      <c r="I684">
        <f>355.43</f>
        <v/>
      </c>
      <c r="J684">
        <f>10378.56</f>
        <v/>
      </c>
    </row>
    <row r="685">
      <c r="B685" t="inlineStr">
        <is>
          <t>02/20/2025</t>
        </is>
      </c>
      <c r="C685" t="inlineStr">
        <is>
          <t>Bill</t>
        </is>
      </c>
      <c r="D685" t="inlineStr">
        <is>
          <t>NWS-4401</t>
        </is>
      </c>
      <c r="E685" t="inlineStr">
        <is>
          <t>Northwind Supply</t>
        </is>
      </c>
      <c r="F685" t="inlineStr">
        <is>
          <t>NWS-4401 components</t>
        </is>
      </c>
      <c r="H685" t="inlineStr">
        <is>
          <t>2010 Accounts Payable</t>
        </is>
      </c>
      <c r="I685">
        <f>10151.29</f>
        <v/>
      </c>
      <c r="J685">
        <f>20529.85</f>
        <v/>
      </c>
    </row>
    <row r="686">
      <c r="B686" t="inlineStr">
        <is>
          <t>03/03/2025</t>
        </is>
      </c>
      <c r="C686" t="inlineStr">
        <is>
          <t>Expense</t>
        </is>
      </c>
      <c r="D686" t="inlineStr"/>
      <c r="E686" t="inlineStr">
        <is>
          <t>Northwind Supply</t>
        </is>
      </c>
      <c r="F686" t="inlineStr">
        <is>
          <t>Northwind Supply invoice 82909</t>
        </is>
      </c>
      <c r="H686" t="inlineStr">
        <is>
          <t>1010 Northgate Checking 7742</t>
        </is>
      </c>
      <c r="I686">
        <f>350.87</f>
        <v/>
      </c>
      <c r="J686">
        <f>20880.72</f>
        <v/>
      </c>
    </row>
    <row r="687">
      <c r="B687" t="inlineStr">
        <is>
          <t>03/20/2025</t>
        </is>
      </c>
      <c r="C687" t="inlineStr">
        <is>
          <t>Bill</t>
        </is>
      </c>
      <c r="D687" t="inlineStr">
        <is>
          <t>NWS-4402</t>
        </is>
      </c>
      <c r="E687" t="inlineStr">
        <is>
          <t>Northwind Supply</t>
        </is>
      </c>
      <c r="F687" t="inlineStr">
        <is>
          <t>NWS-4402 components</t>
        </is>
      </c>
      <c r="H687" t="inlineStr">
        <is>
          <t>2010 Accounts Payable</t>
        </is>
      </c>
      <c r="I687">
        <f>9794.01</f>
        <v/>
      </c>
      <c r="J687">
        <f>30674.73</f>
        <v/>
      </c>
    </row>
    <row r="688">
      <c r="B688" t="inlineStr">
        <is>
          <t>03/21/2025</t>
        </is>
      </c>
      <c r="C688" t="inlineStr">
        <is>
          <t>Expense</t>
        </is>
      </c>
      <c r="D688" t="inlineStr"/>
      <c r="E688" t="inlineStr">
        <is>
          <t>Northwind Supply</t>
        </is>
      </c>
      <c r="F688" t="inlineStr">
        <is>
          <t>Northwind Supply invoice 85666</t>
        </is>
      </c>
      <c r="H688" t="inlineStr">
        <is>
          <t>1010 Northgate Checking 7742</t>
        </is>
      </c>
      <c r="I688">
        <f>759.63</f>
        <v/>
      </c>
      <c r="J688">
        <f>31434.36</f>
        <v/>
      </c>
    </row>
    <row r="689">
      <c r="B689" t="inlineStr">
        <is>
          <t>04/11/2025</t>
        </is>
      </c>
      <c r="C689" t="inlineStr">
        <is>
          <t>Expense</t>
        </is>
      </c>
      <c r="D689" t="inlineStr"/>
      <c r="E689" t="inlineStr">
        <is>
          <t>Northwind Supply</t>
        </is>
      </c>
      <c r="F689" t="inlineStr">
        <is>
          <t>Northwind Supply invoice 50561</t>
        </is>
      </c>
      <c r="H689" t="inlineStr">
        <is>
          <t>1010 Northgate Checking 7742</t>
        </is>
      </c>
      <c r="I689">
        <f>996.10</f>
        <v/>
      </c>
      <c r="J689">
        <f>32430.46</f>
        <v/>
      </c>
    </row>
    <row r="690">
      <c r="B690" t="inlineStr">
        <is>
          <t>04/20/2025</t>
        </is>
      </c>
      <c r="C690" t="inlineStr">
        <is>
          <t>Bill</t>
        </is>
      </c>
      <c r="D690" t="inlineStr">
        <is>
          <t>NWS-4403</t>
        </is>
      </c>
      <c r="E690" t="inlineStr">
        <is>
          <t>Northwind Supply</t>
        </is>
      </c>
      <c r="F690" t="inlineStr">
        <is>
          <t>NWS-4403 components</t>
        </is>
      </c>
      <c r="H690" t="inlineStr">
        <is>
          <t>2010 Accounts Payable</t>
        </is>
      </c>
      <c r="I690">
        <f>10628.94</f>
        <v/>
      </c>
      <c r="J690">
        <f>43059.40</f>
        <v/>
      </c>
    </row>
    <row r="691">
      <c r="B691" t="inlineStr">
        <is>
          <t>04/22/2025</t>
        </is>
      </c>
      <c r="C691" t="inlineStr">
        <is>
          <t>Expense</t>
        </is>
      </c>
      <c r="D691" t="inlineStr"/>
      <c r="E691" t="inlineStr">
        <is>
          <t>Northwind Supply</t>
        </is>
      </c>
      <c r="F691" t="inlineStr">
        <is>
          <t>Northwind Supply invoice 19564</t>
        </is>
      </c>
      <c r="H691" t="inlineStr">
        <is>
          <t>1010 Northgate Checking 7742</t>
        </is>
      </c>
      <c r="I691">
        <f>472.20</f>
        <v/>
      </c>
      <c r="J691">
        <f>43531.60</f>
        <v/>
      </c>
    </row>
    <row r="692">
      <c r="B692" t="inlineStr">
        <is>
          <t>04/23/2025</t>
        </is>
      </c>
      <c r="C692" t="inlineStr">
        <is>
          <t>Expense</t>
        </is>
      </c>
      <c r="D692" t="inlineStr"/>
      <c r="E692" t="inlineStr">
        <is>
          <t>Northwind Supply</t>
        </is>
      </c>
      <c r="F692" t="inlineStr">
        <is>
          <t>Northwind Supply invoice 14717</t>
        </is>
      </c>
      <c r="H692" t="inlineStr">
        <is>
          <t>1010 Northgate Checking 7742</t>
        </is>
      </c>
      <c r="I692">
        <f>408.57</f>
        <v/>
      </c>
      <c r="J692">
        <f>43940.17</f>
        <v/>
      </c>
    </row>
    <row r="693">
      <c r="B693" t="inlineStr">
        <is>
          <t>05/20/2025</t>
        </is>
      </c>
      <c r="C693" t="inlineStr">
        <is>
          <t>Bill</t>
        </is>
      </c>
      <c r="D693" t="inlineStr">
        <is>
          <t>NWS-4404</t>
        </is>
      </c>
      <c r="E693" t="inlineStr">
        <is>
          <t>Northwind Supply</t>
        </is>
      </c>
      <c r="F693" t="inlineStr">
        <is>
          <t>NWS-4404 components</t>
        </is>
      </c>
      <c r="H693" t="inlineStr">
        <is>
          <t>2010 Accounts Payable</t>
        </is>
      </c>
      <c r="I693">
        <f>11122.53</f>
        <v/>
      </c>
      <c r="J693">
        <f>55062.70</f>
        <v/>
      </c>
    </row>
    <row r="694">
      <c r="B694" t="inlineStr">
        <is>
          <t>06/10/2025</t>
        </is>
      </c>
      <c r="C694" t="inlineStr">
        <is>
          <t>Expense</t>
        </is>
      </c>
      <c r="D694" t="inlineStr"/>
      <c r="E694" t="inlineStr">
        <is>
          <t>Northwind Supply</t>
        </is>
      </c>
      <c r="F694" t="inlineStr">
        <is>
          <t>Northwind Supply invoice 53913</t>
        </is>
      </c>
      <c r="H694" t="inlineStr">
        <is>
          <t>1010 Northgate Checking 7742</t>
        </is>
      </c>
      <c r="I694">
        <f>350.46</f>
        <v/>
      </c>
      <c r="J694">
        <f>55413.16</f>
        <v/>
      </c>
    </row>
    <row r="695">
      <c r="B695" t="inlineStr">
        <is>
          <t>06/20/2025</t>
        </is>
      </c>
      <c r="C695" t="inlineStr">
        <is>
          <t>Bill</t>
        </is>
      </c>
      <c r="D695" t="inlineStr">
        <is>
          <t>NWS-4405</t>
        </is>
      </c>
      <c r="E695" t="inlineStr">
        <is>
          <t>Northwind Supply</t>
        </is>
      </c>
      <c r="F695" t="inlineStr">
        <is>
          <t>NWS-4405 components</t>
        </is>
      </c>
      <c r="H695" t="inlineStr">
        <is>
          <t>2010 Accounts Payable</t>
        </is>
      </c>
      <c r="I695">
        <f>12296.55</f>
        <v/>
      </c>
      <c r="J695">
        <f>67709.71</f>
        <v/>
      </c>
    </row>
    <row r="696">
      <c r="B696" t="inlineStr">
        <is>
          <t>07/03/2025</t>
        </is>
      </c>
      <c r="C696" t="inlineStr">
        <is>
          <t>Expense</t>
        </is>
      </c>
      <c r="D696" t="inlineStr"/>
      <c r="E696" t="inlineStr">
        <is>
          <t>Northwind Supply</t>
        </is>
      </c>
      <c r="F696" t="inlineStr">
        <is>
          <t>Northwind Supply invoice 97032</t>
        </is>
      </c>
      <c r="H696" t="inlineStr">
        <is>
          <t>1010 Northgate Checking 7742</t>
        </is>
      </c>
      <c r="I696">
        <f>493.35</f>
        <v/>
      </c>
      <c r="J696">
        <f>68203.06</f>
        <v/>
      </c>
    </row>
    <row r="697">
      <c r="B697" t="inlineStr">
        <is>
          <t>07/05/2025</t>
        </is>
      </c>
      <c r="C697" t="inlineStr">
        <is>
          <t>Expense</t>
        </is>
      </c>
      <c r="D697" t="inlineStr"/>
      <c r="E697" t="inlineStr">
        <is>
          <t>Northwind Supply</t>
        </is>
      </c>
      <c r="F697" t="inlineStr">
        <is>
          <t>Northwind Supply invoice 89376</t>
        </is>
      </c>
      <c r="H697" t="inlineStr">
        <is>
          <t>1010 Northgate Checking 7742</t>
        </is>
      </c>
      <c r="I697">
        <f>837.78</f>
        <v/>
      </c>
      <c r="J697">
        <f>69040.84</f>
        <v/>
      </c>
    </row>
    <row r="698">
      <c r="B698" t="inlineStr">
        <is>
          <t>07/12/2025</t>
        </is>
      </c>
      <c r="C698" t="inlineStr">
        <is>
          <t>Expense</t>
        </is>
      </c>
      <c r="D698" t="inlineStr"/>
      <c r="E698" t="inlineStr">
        <is>
          <t>Northwind Supply</t>
        </is>
      </c>
      <c r="F698" t="inlineStr">
        <is>
          <t>Northwind Supply invoice 36272</t>
        </is>
      </c>
      <c r="H698" t="inlineStr">
        <is>
          <t>1010 Northgate Checking 7742</t>
        </is>
      </c>
      <c r="I698">
        <f>1183.69</f>
        <v/>
      </c>
      <c r="J698">
        <f>70224.53</f>
        <v/>
      </c>
    </row>
    <row r="699">
      <c r="B699" t="inlineStr">
        <is>
          <t>07/15/2025</t>
        </is>
      </c>
      <c r="C699" t="inlineStr">
        <is>
          <t>Expense</t>
        </is>
      </c>
      <c r="D699" t="inlineStr"/>
      <c r="E699" t="inlineStr">
        <is>
          <t>Northwind Supply</t>
        </is>
      </c>
      <c r="F699" t="inlineStr">
        <is>
          <t>Northwind Supply invoice 79584</t>
        </is>
      </c>
      <c r="H699" t="inlineStr">
        <is>
          <t>1010 Northgate Checking 7742</t>
        </is>
      </c>
      <c r="I699">
        <f>336.83</f>
        <v/>
      </c>
      <c r="J699">
        <f>70561.36</f>
        <v/>
      </c>
    </row>
    <row r="700">
      <c r="B700" t="inlineStr">
        <is>
          <t>07/20/2025</t>
        </is>
      </c>
      <c r="C700" t="inlineStr">
        <is>
          <t>Bill</t>
        </is>
      </c>
      <c r="D700" t="inlineStr">
        <is>
          <t>NWS-4406</t>
        </is>
      </c>
      <c r="E700" t="inlineStr">
        <is>
          <t>Northwind Supply</t>
        </is>
      </c>
      <c r="F700" t="inlineStr">
        <is>
          <t>NWS-4406 components</t>
        </is>
      </c>
      <c r="H700" t="inlineStr">
        <is>
          <t>2010 Accounts Payable</t>
        </is>
      </c>
      <c r="I700">
        <f>12857.68</f>
        <v/>
      </c>
      <c r="J700">
        <f>83419.04</f>
        <v/>
      </c>
    </row>
    <row r="701">
      <c r="B701" t="inlineStr">
        <is>
          <t>08/04/2025</t>
        </is>
      </c>
      <c r="C701" t="inlineStr">
        <is>
          <t>Expense</t>
        </is>
      </c>
      <c r="D701" t="inlineStr"/>
      <c r="E701" t="inlineStr">
        <is>
          <t>Northwind Supply</t>
        </is>
      </c>
      <c r="F701" t="inlineStr">
        <is>
          <t>Northwind Supply invoice 19059</t>
        </is>
      </c>
      <c r="H701" t="inlineStr">
        <is>
          <t>1010 Northgate Checking 7742</t>
        </is>
      </c>
      <c r="I701">
        <f>1157.89</f>
        <v/>
      </c>
      <c r="J701">
        <f>84576.93</f>
        <v/>
      </c>
    </row>
    <row r="702">
      <c r="B702" t="inlineStr">
        <is>
          <t>08/04/2025</t>
        </is>
      </c>
      <c r="C702" t="inlineStr">
        <is>
          <t>Expense</t>
        </is>
      </c>
      <c r="D702" t="inlineStr"/>
      <c r="E702" t="inlineStr">
        <is>
          <t>Northwind Supply</t>
        </is>
      </c>
      <c r="F702" t="inlineStr">
        <is>
          <t>Northwind Supply invoice 22668</t>
        </is>
      </c>
      <c r="H702" t="inlineStr">
        <is>
          <t>1010 Northgate Checking 7742</t>
        </is>
      </c>
      <c r="I702">
        <f>541.57</f>
        <v/>
      </c>
      <c r="J702">
        <f>85118.50</f>
        <v/>
      </c>
    </row>
    <row r="703">
      <c r="B703" t="inlineStr">
        <is>
          <t>08/05/2025</t>
        </is>
      </c>
      <c r="C703" t="inlineStr">
        <is>
          <t>Expense</t>
        </is>
      </c>
      <c r="D703" t="inlineStr"/>
      <c r="E703" t="inlineStr">
        <is>
          <t>Northwind Supply</t>
        </is>
      </c>
      <c r="F703" t="inlineStr">
        <is>
          <t>Northwind Supply invoice 72369</t>
        </is>
      </c>
      <c r="H703" t="inlineStr">
        <is>
          <t>1010 Northgate Checking 7742</t>
        </is>
      </c>
      <c r="I703">
        <f>284.19</f>
        <v/>
      </c>
      <c r="J703">
        <f>85402.69</f>
        <v/>
      </c>
    </row>
    <row r="704">
      <c r="B704" t="inlineStr">
        <is>
          <t>08/05/2025</t>
        </is>
      </c>
      <c r="C704" t="inlineStr">
        <is>
          <t>Expense</t>
        </is>
      </c>
      <c r="D704" t="inlineStr"/>
      <c r="E704" t="inlineStr">
        <is>
          <t>Northwind Supply</t>
        </is>
      </c>
      <c r="F704" t="inlineStr">
        <is>
          <t>Northwind Supply invoice 43210</t>
        </is>
      </c>
      <c r="H704" t="inlineStr">
        <is>
          <t>1010 Northgate Checking 7742</t>
        </is>
      </c>
      <c r="I704">
        <f>943.58</f>
        <v/>
      </c>
      <c r="J704">
        <f>86346.27</f>
        <v/>
      </c>
    </row>
    <row r="705">
      <c r="B705" t="inlineStr">
        <is>
          <t>08/10/2025</t>
        </is>
      </c>
      <c r="C705" t="inlineStr">
        <is>
          <t>Expense</t>
        </is>
      </c>
      <c r="D705" t="inlineStr"/>
      <c r="E705" t="inlineStr">
        <is>
          <t>Northwind Supply</t>
        </is>
      </c>
      <c r="F705" t="inlineStr">
        <is>
          <t>Northwind Supply invoice 97003</t>
        </is>
      </c>
      <c r="H705" t="inlineStr">
        <is>
          <t>1010 Northgate Checking 7742</t>
        </is>
      </c>
      <c r="I705">
        <f>274.18</f>
        <v/>
      </c>
      <c r="J705">
        <f>86620.45</f>
        <v/>
      </c>
    </row>
    <row r="706">
      <c r="B706" t="inlineStr">
        <is>
          <t>08/11/2025</t>
        </is>
      </c>
      <c r="C706" t="inlineStr">
        <is>
          <t>Expense</t>
        </is>
      </c>
      <c r="D706" t="inlineStr"/>
      <c r="E706" t="inlineStr">
        <is>
          <t>Northwind Supply</t>
        </is>
      </c>
      <c r="F706" t="inlineStr">
        <is>
          <t>Northwind Supply invoice 44927</t>
        </is>
      </c>
      <c r="H706" t="inlineStr">
        <is>
          <t>1010 Northgate Checking 7742</t>
        </is>
      </c>
      <c r="I706">
        <f>1022.38</f>
        <v/>
      </c>
      <c r="J706">
        <f>87642.83</f>
        <v/>
      </c>
    </row>
    <row r="707">
      <c r="B707" t="inlineStr">
        <is>
          <t>08/16/2025</t>
        </is>
      </c>
      <c r="C707" t="inlineStr">
        <is>
          <t>Expense</t>
        </is>
      </c>
      <c r="D707" t="inlineStr"/>
      <c r="E707" t="inlineStr">
        <is>
          <t>Northwind Supply</t>
        </is>
      </c>
      <c r="F707" t="inlineStr">
        <is>
          <t>Northwind Supply invoice 98133</t>
        </is>
      </c>
      <c r="H707" t="inlineStr">
        <is>
          <t>1010 Northgate Checking 7742</t>
        </is>
      </c>
      <c r="I707">
        <f>577.92</f>
        <v/>
      </c>
      <c r="J707">
        <f>88220.75</f>
        <v/>
      </c>
    </row>
    <row r="708">
      <c r="B708" t="inlineStr">
        <is>
          <t>08/17/2025</t>
        </is>
      </c>
      <c r="C708" t="inlineStr">
        <is>
          <t>Expense</t>
        </is>
      </c>
      <c r="D708" t="inlineStr"/>
      <c r="E708" t="inlineStr">
        <is>
          <t>Northwind Supply</t>
        </is>
      </c>
      <c r="F708" t="inlineStr">
        <is>
          <t>Northwind Supply invoice 54761</t>
        </is>
      </c>
      <c r="H708" t="inlineStr">
        <is>
          <t>1010 Northgate Checking 7742</t>
        </is>
      </c>
      <c r="I708">
        <f>232.86</f>
        <v/>
      </c>
      <c r="J708">
        <f>88453.61</f>
        <v/>
      </c>
    </row>
    <row r="709">
      <c r="B709" t="inlineStr">
        <is>
          <t>08/20/2025</t>
        </is>
      </c>
      <c r="C709" t="inlineStr">
        <is>
          <t>Bill</t>
        </is>
      </c>
      <c r="D709" t="inlineStr">
        <is>
          <t>NWS-4407</t>
        </is>
      </c>
      <c r="E709" t="inlineStr">
        <is>
          <t>Northwind Supply</t>
        </is>
      </c>
      <c r="F709" t="inlineStr">
        <is>
          <t>NWS-4407 components</t>
        </is>
      </c>
      <c r="H709" t="inlineStr">
        <is>
          <t>2010 Accounts Payable</t>
        </is>
      </c>
      <c r="I709">
        <f>13791.23</f>
        <v/>
      </c>
      <c r="J709">
        <f>102244.84</f>
        <v/>
      </c>
    </row>
    <row r="710">
      <c r="B710" t="inlineStr">
        <is>
          <t>08/23/2025</t>
        </is>
      </c>
      <c r="C710" t="inlineStr">
        <is>
          <t>Expense</t>
        </is>
      </c>
      <c r="D710" t="inlineStr"/>
      <c r="E710" t="inlineStr">
        <is>
          <t>Northwind Supply</t>
        </is>
      </c>
      <c r="F710" t="inlineStr">
        <is>
          <t>Northwind Supply invoice 52776</t>
        </is>
      </c>
      <c r="H710" t="inlineStr">
        <is>
          <t>1010 Northgate Checking 7742</t>
        </is>
      </c>
      <c r="I710">
        <f>488.43</f>
        <v/>
      </c>
      <c r="J710">
        <f>102733.27</f>
        <v/>
      </c>
    </row>
    <row r="711">
      <c r="B711" t="inlineStr">
        <is>
          <t>08/25/2025</t>
        </is>
      </c>
      <c r="C711" t="inlineStr">
        <is>
          <t>Expense</t>
        </is>
      </c>
      <c r="D711" t="inlineStr"/>
      <c r="E711" t="inlineStr">
        <is>
          <t>Northwind Supply</t>
        </is>
      </c>
      <c r="F711" t="inlineStr">
        <is>
          <t>Northwind Supply invoice 49526</t>
        </is>
      </c>
      <c r="H711" t="inlineStr">
        <is>
          <t>1010 Northgate Checking 7742</t>
        </is>
      </c>
      <c r="I711">
        <f>1037.97</f>
        <v/>
      </c>
      <c r="J711">
        <f>103771.24</f>
        <v/>
      </c>
    </row>
    <row r="712">
      <c r="B712" t="inlineStr">
        <is>
          <t>09/02/2025</t>
        </is>
      </c>
      <c r="C712" t="inlineStr">
        <is>
          <t>Expense</t>
        </is>
      </c>
      <c r="D712" t="inlineStr"/>
      <c r="E712" t="inlineStr">
        <is>
          <t>Northwind Supply</t>
        </is>
      </c>
      <c r="F712" t="inlineStr">
        <is>
          <t>Northwind Supply invoice 45032</t>
        </is>
      </c>
      <c r="H712" t="inlineStr">
        <is>
          <t>1010 Northgate Checking 7742</t>
        </is>
      </c>
      <c r="I712">
        <f>817.43</f>
        <v/>
      </c>
      <c r="J712">
        <f>104588.67</f>
        <v/>
      </c>
    </row>
    <row r="713">
      <c r="B713" t="inlineStr">
        <is>
          <t>09/07/2025</t>
        </is>
      </c>
      <c r="C713" t="inlineStr">
        <is>
          <t>Expense</t>
        </is>
      </c>
      <c r="D713" t="inlineStr"/>
      <c r="E713" t="inlineStr">
        <is>
          <t>Northwind Supply</t>
        </is>
      </c>
      <c r="F713" t="inlineStr">
        <is>
          <t>Northwind Supply invoice 31230</t>
        </is>
      </c>
      <c r="H713" t="inlineStr">
        <is>
          <t>1010 Northgate Checking 7742</t>
        </is>
      </c>
      <c r="I713">
        <f>175.76</f>
        <v/>
      </c>
      <c r="J713">
        <f>104764.43</f>
        <v/>
      </c>
    </row>
    <row r="714">
      <c r="B714" t="inlineStr">
        <is>
          <t>09/10/2025</t>
        </is>
      </c>
      <c r="C714" t="inlineStr">
        <is>
          <t>Expense</t>
        </is>
      </c>
      <c r="D714" t="inlineStr"/>
      <c r="E714" t="inlineStr">
        <is>
          <t>Northwind Supply</t>
        </is>
      </c>
      <c r="F714" t="inlineStr">
        <is>
          <t>Northwind Supply invoice 33005</t>
        </is>
      </c>
      <c r="H714" t="inlineStr">
        <is>
          <t>1010 Northgate Checking 7742</t>
        </is>
      </c>
      <c r="I714">
        <f>924.57</f>
        <v/>
      </c>
      <c r="J714">
        <f>105689.00</f>
        <v/>
      </c>
    </row>
    <row r="715">
      <c r="B715" t="inlineStr">
        <is>
          <t>09/15/2025</t>
        </is>
      </c>
      <c r="C715" t="inlineStr">
        <is>
          <t>Expense</t>
        </is>
      </c>
      <c r="D715" t="inlineStr"/>
      <c r="E715" t="inlineStr">
        <is>
          <t>Northwind Supply</t>
        </is>
      </c>
      <c r="F715" t="inlineStr">
        <is>
          <t>Northwind Supply invoice 37556</t>
        </is>
      </c>
      <c r="H715" t="inlineStr">
        <is>
          <t>1010 Northgate Checking 7742</t>
        </is>
      </c>
      <c r="I715">
        <f>1141.10</f>
        <v/>
      </c>
      <c r="J715">
        <f>106830.10</f>
        <v/>
      </c>
    </row>
    <row r="716">
      <c r="B716" t="inlineStr">
        <is>
          <t>09/17/2025</t>
        </is>
      </c>
      <c r="C716" t="inlineStr">
        <is>
          <t>Expense</t>
        </is>
      </c>
      <c r="D716" t="inlineStr"/>
      <c r="E716" t="inlineStr">
        <is>
          <t>Northwind Supply</t>
        </is>
      </c>
      <c r="F716" t="inlineStr">
        <is>
          <t>Northwind Supply invoice 49494</t>
        </is>
      </c>
      <c r="H716" t="inlineStr">
        <is>
          <t>1010 Northgate Checking 7742</t>
        </is>
      </c>
      <c r="I716">
        <f>311.88</f>
        <v/>
      </c>
      <c r="J716">
        <f>107141.98</f>
        <v/>
      </c>
    </row>
    <row r="717">
      <c r="B717" t="inlineStr">
        <is>
          <t>09/17/2025</t>
        </is>
      </c>
      <c r="C717" t="inlineStr">
        <is>
          <t>Expense</t>
        </is>
      </c>
      <c r="D717" t="inlineStr"/>
      <c r="E717" t="inlineStr">
        <is>
          <t>Northwind Supply</t>
        </is>
      </c>
      <c r="F717" t="inlineStr">
        <is>
          <t>Northwind Supply invoice 12433</t>
        </is>
      </c>
      <c r="H717" t="inlineStr">
        <is>
          <t>1010 Northgate Checking 7742</t>
        </is>
      </c>
      <c r="I717">
        <f>505.46</f>
        <v/>
      </c>
      <c r="J717">
        <f>107647.44</f>
        <v/>
      </c>
    </row>
    <row r="718">
      <c r="B718" t="inlineStr">
        <is>
          <t>09/20/2025</t>
        </is>
      </c>
      <c r="C718" t="inlineStr">
        <is>
          <t>Bill</t>
        </is>
      </c>
      <c r="D718" t="inlineStr">
        <is>
          <t>NWS-4408</t>
        </is>
      </c>
      <c r="E718" t="inlineStr">
        <is>
          <t>Northwind Supply</t>
        </is>
      </c>
      <c r="F718" t="inlineStr">
        <is>
          <t>NWS-4408 components</t>
        </is>
      </c>
      <c r="H718" t="inlineStr">
        <is>
          <t>2010 Accounts Payable</t>
        </is>
      </c>
      <c r="I718">
        <f>13804.57</f>
        <v/>
      </c>
      <c r="J718">
        <f>121452.01</f>
        <v/>
      </c>
    </row>
    <row r="719">
      <c r="B719" t="inlineStr">
        <is>
          <t>09/24/2025</t>
        </is>
      </c>
      <c r="C719" t="inlineStr">
        <is>
          <t>Expense</t>
        </is>
      </c>
      <c r="D719" t="inlineStr"/>
      <c r="E719" t="inlineStr">
        <is>
          <t>Northwind Supply</t>
        </is>
      </c>
      <c r="F719" t="inlineStr">
        <is>
          <t>Northwind Supply invoice 57723</t>
        </is>
      </c>
      <c r="H719" t="inlineStr">
        <is>
          <t>1010 Northgate Checking 7742</t>
        </is>
      </c>
      <c r="I719">
        <f>1061.72</f>
        <v/>
      </c>
      <c r="J719">
        <f>122513.73</f>
        <v/>
      </c>
    </row>
    <row r="720">
      <c r="B720" t="inlineStr">
        <is>
          <t>10/20/2025</t>
        </is>
      </c>
      <c r="C720" t="inlineStr">
        <is>
          <t>Bill</t>
        </is>
      </c>
      <c r="D720" t="inlineStr">
        <is>
          <t>NWS-4409</t>
        </is>
      </c>
      <c r="E720" t="inlineStr">
        <is>
          <t>Northwind Supply</t>
        </is>
      </c>
      <c r="F720" t="inlineStr">
        <is>
          <t>NWS-4409 components</t>
        </is>
      </c>
      <c r="H720" t="inlineStr">
        <is>
          <t>2010 Accounts Payable</t>
        </is>
      </c>
      <c r="I720">
        <f>14771.05</f>
        <v/>
      </c>
      <c r="J720">
        <f>137284.78</f>
        <v/>
      </c>
    </row>
    <row r="721">
      <c r="B721" t="inlineStr">
        <is>
          <t>11/20/2025</t>
        </is>
      </c>
      <c r="C721" t="inlineStr">
        <is>
          <t>Bill</t>
        </is>
      </c>
      <c r="D721" t="inlineStr">
        <is>
          <t>NWS-4410</t>
        </is>
      </c>
      <c r="E721" t="inlineStr">
        <is>
          <t>Northwind Supply</t>
        </is>
      </c>
      <c r="F721" t="inlineStr">
        <is>
          <t>NWS-4410 components</t>
        </is>
      </c>
      <c r="H721" t="inlineStr">
        <is>
          <t>2010 Accounts Payable</t>
        </is>
      </c>
      <c r="I721">
        <f>15288.41</f>
        <v/>
      </c>
      <c r="J721">
        <f>152573.19</f>
        <v/>
      </c>
    </row>
    <row r="722">
      <c r="B722" t="inlineStr">
        <is>
          <t>12/20/2025</t>
        </is>
      </c>
      <c r="C722" t="inlineStr">
        <is>
          <t>Bill</t>
        </is>
      </c>
      <c r="D722" t="inlineStr">
        <is>
          <t>NWS-4411</t>
        </is>
      </c>
      <c r="E722" t="inlineStr">
        <is>
          <t>Northwind Supply</t>
        </is>
      </c>
      <c r="F722" t="inlineStr">
        <is>
          <t>NWS-4411 components</t>
        </is>
      </c>
      <c r="H722" t="inlineStr">
        <is>
          <t>2010 Accounts Payable</t>
        </is>
      </c>
      <c r="I722">
        <f>15930.57</f>
        <v/>
      </c>
      <c r="J722">
        <f>168503.76</f>
        <v/>
      </c>
    </row>
    <row r="723">
      <c r="A723" t="inlineStr">
        <is>
          <t>Total for 5000 Cost of Goods Sold - Components</t>
        </is>
      </c>
      <c r="I723">
        <f>168503.76</f>
        <v/>
      </c>
    </row>
    <row r="724"/>
    <row r="725">
      <c r="A725" t="inlineStr">
        <is>
          <t>5100 Shipping and Freight</t>
        </is>
      </c>
    </row>
    <row r="726">
      <c r="G726" t="inlineStr">
        <is>
          <t>Beginning Balance</t>
        </is>
      </c>
      <c r="J726">
        <f>0.00</f>
        <v/>
      </c>
    </row>
    <row r="727">
      <c r="B727" t="inlineStr">
        <is>
          <t>01/22/2025</t>
        </is>
      </c>
      <c r="C727" t="inlineStr">
        <is>
          <t>Credit Card Charge</t>
        </is>
      </c>
      <c r="D727" t="inlineStr"/>
      <c r="E727" t="inlineStr">
        <is>
          <t>Fabrikam Freight</t>
        </is>
      </c>
      <c r="F727" t="inlineStr">
        <is>
          <t>Outbound freight 2025-01</t>
        </is>
      </c>
      <c r="H727" t="inlineStr">
        <is>
          <t>2100 Vantage Card 3391</t>
        </is>
      </c>
      <c r="I727">
        <f>1527.03</f>
        <v/>
      </c>
      <c r="J727">
        <f>1527.03</f>
        <v/>
      </c>
    </row>
    <row r="728">
      <c r="B728" t="inlineStr">
        <is>
          <t>02/02/2025</t>
        </is>
      </c>
      <c r="C728" t="inlineStr">
        <is>
          <t>Expense</t>
        </is>
      </c>
      <c r="D728" t="inlineStr"/>
      <c r="E728" t="inlineStr">
        <is>
          <t>Fabrikam Freight</t>
        </is>
      </c>
      <c r="F728" t="inlineStr">
        <is>
          <t>Fabrikam Freight invoice 65136</t>
        </is>
      </c>
      <c r="H728" t="inlineStr">
        <is>
          <t>1010 Northgate Checking 7742</t>
        </is>
      </c>
      <c r="I728">
        <f>191.77</f>
        <v/>
      </c>
      <c r="J728">
        <f>1718.80</f>
        <v/>
      </c>
    </row>
    <row r="729">
      <c r="B729" t="inlineStr">
        <is>
          <t>02/22/2025</t>
        </is>
      </c>
      <c r="C729" t="inlineStr">
        <is>
          <t>Credit Card Charge</t>
        </is>
      </c>
      <c r="D729" t="inlineStr"/>
      <c r="E729" t="inlineStr">
        <is>
          <t>Fabrikam Freight</t>
        </is>
      </c>
      <c r="F729" t="inlineStr">
        <is>
          <t>Outbound freight 2025-02</t>
        </is>
      </c>
      <c r="H729" t="inlineStr">
        <is>
          <t>2100 Vantage Card 3391</t>
        </is>
      </c>
      <c r="I729">
        <f>1411.83</f>
        <v/>
      </c>
      <c r="J729">
        <f>3130.63</f>
        <v/>
      </c>
    </row>
    <row r="730">
      <c r="B730" t="inlineStr">
        <is>
          <t>03/09/2025</t>
        </is>
      </c>
      <c r="C730" t="inlineStr">
        <is>
          <t>Expense</t>
        </is>
      </c>
      <c r="D730" t="inlineStr"/>
      <c r="E730" t="inlineStr">
        <is>
          <t>Fabrikam Freight</t>
        </is>
      </c>
      <c r="F730" t="inlineStr">
        <is>
          <t>Fabrikam Freight invoice 34825</t>
        </is>
      </c>
      <c r="H730" t="inlineStr">
        <is>
          <t>1010 Northgate Checking 7742</t>
        </is>
      </c>
      <c r="I730">
        <f>765.74</f>
        <v/>
      </c>
      <c r="J730">
        <f>3896.37</f>
        <v/>
      </c>
    </row>
    <row r="731">
      <c r="B731" t="inlineStr">
        <is>
          <t>03/12/2025</t>
        </is>
      </c>
      <c r="C731" t="inlineStr">
        <is>
          <t>Expense</t>
        </is>
      </c>
      <c r="D731" t="inlineStr"/>
      <c r="E731" t="inlineStr">
        <is>
          <t>Fabrikam Freight</t>
        </is>
      </c>
      <c r="F731" t="inlineStr">
        <is>
          <t>Fabrikam Freight invoice 72113</t>
        </is>
      </c>
      <c r="H731" t="inlineStr">
        <is>
          <t>1010 Northgate Checking 7742</t>
        </is>
      </c>
      <c r="I731">
        <f>454.24</f>
        <v/>
      </c>
      <c r="J731">
        <f>4350.61</f>
        <v/>
      </c>
    </row>
    <row r="732">
      <c r="B732" t="inlineStr">
        <is>
          <t>03/22/2025</t>
        </is>
      </c>
      <c r="C732" t="inlineStr">
        <is>
          <t>Credit Card Charge</t>
        </is>
      </c>
      <c r="D732" t="inlineStr"/>
      <c r="E732" t="inlineStr">
        <is>
          <t>Fabrikam Freight</t>
        </is>
      </c>
      <c r="F732" t="inlineStr">
        <is>
          <t>Outbound freight 2025-03</t>
        </is>
      </c>
      <c r="H732" t="inlineStr">
        <is>
          <t>2100 Vantage Card 3391</t>
        </is>
      </c>
      <c r="I732">
        <f>1524.78</f>
        <v/>
      </c>
      <c r="J732">
        <f>5875.39</f>
        <v/>
      </c>
    </row>
    <row r="733">
      <c r="B733" t="inlineStr">
        <is>
          <t>04/07/2025</t>
        </is>
      </c>
      <c r="C733" t="inlineStr">
        <is>
          <t>Expense</t>
        </is>
      </c>
      <c r="D733" t="inlineStr"/>
      <c r="E733" t="inlineStr">
        <is>
          <t>Fabrikam Freight</t>
        </is>
      </c>
      <c r="F733" t="inlineStr">
        <is>
          <t>Fabrikam Freight invoice 33875</t>
        </is>
      </c>
      <c r="H733" t="inlineStr">
        <is>
          <t>1010 Northgate Checking 7742</t>
        </is>
      </c>
      <c r="I733">
        <f>595.64</f>
        <v/>
      </c>
      <c r="J733">
        <f>6471.03</f>
        <v/>
      </c>
    </row>
    <row r="734">
      <c r="B734" t="inlineStr">
        <is>
          <t>04/08/2025</t>
        </is>
      </c>
      <c r="C734" t="inlineStr">
        <is>
          <t>Expense</t>
        </is>
      </c>
      <c r="D734" t="inlineStr"/>
      <c r="E734" t="inlineStr">
        <is>
          <t>Fabrikam Freight</t>
        </is>
      </c>
      <c r="F734" t="inlineStr">
        <is>
          <t>Fabrikam Freight invoice 54080</t>
        </is>
      </c>
      <c r="H734" t="inlineStr">
        <is>
          <t>1010 Northgate Checking 7742</t>
        </is>
      </c>
      <c r="I734">
        <f>776.37</f>
        <v/>
      </c>
      <c r="J734">
        <f>7247.40</f>
        <v/>
      </c>
    </row>
    <row r="735">
      <c r="B735" t="inlineStr">
        <is>
          <t>04/08/2025</t>
        </is>
      </c>
      <c r="C735" t="inlineStr">
        <is>
          <t>Expense</t>
        </is>
      </c>
      <c r="D735" t="inlineStr"/>
      <c r="E735" t="inlineStr">
        <is>
          <t>Fabrikam Freight</t>
        </is>
      </c>
      <c r="F735" t="inlineStr">
        <is>
          <t>Fabrikam Freight invoice 73530</t>
        </is>
      </c>
      <c r="H735" t="inlineStr">
        <is>
          <t>1010 Northgate Checking 7742</t>
        </is>
      </c>
      <c r="I735">
        <f>716.93</f>
        <v/>
      </c>
      <c r="J735">
        <f>7964.33</f>
        <v/>
      </c>
    </row>
    <row r="736">
      <c r="B736" t="inlineStr">
        <is>
          <t>04/12/2025</t>
        </is>
      </c>
      <c r="C736" t="inlineStr">
        <is>
          <t>Expense</t>
        </is>
      </c>
      <c r="D736" t="inlineStr"/>
      <c r="E736" t="inlineStr">
        <is>
          <t>Fabrikam Freight</t>
        </is>
      </c>
      <c r="F736" t="inlineStr">
        <is>
          <t>Fabrikam Freight invoice 74423</t>
        </is>
      </c>
      <c r="H736" t="inlineStr">
        <is>
          <t>1010 Northgate Checking 7742</t>
        </is>
      </c>
      <c r="I736">
        <f>349.66</f>
        <v/>
      </c>
      <c r="J736">
        <f>8313.99</f>
        <v/>
      </c>
    </row>
    <row r="737">
      <c r="B737" t="inlineStr">
        <is>
          <t>04/15/2025</t>
        </is>
      </c>
      <c r="C737" t="inlineStr">
        <is>
          <t>Expense</t>
        </is>
      </c>
      <c r="D737" t="inlineStr"/>
      <c r="E737" t="inlineStr">
        <is>
          <t>Fabrikam Freight</t>
        </is>
      </c>
      <c r="F737" t="inlineStr">
        <is>
          <t>Fabrikam Freight invoice 86611</t>
        </is>
      </c>
      <c r="H737" t="inlineStr">
        <is>
          <t>1010 Northgate Checking 7742</t>
        </is>
      </c>
      <c r="I737">
        <f>456.84</f>
        <v/>
      </c>
      <c r="J737">
        <f>8770.83</f>
        <v/>
      </c>
    </row>
    <row r="738">
      <c r="B738" t="inlineStr">
        <is>
          <t>04/22/2025</t>
        </is>
      </c>
      <c r="C738" t="inlineStr">
        <is>
          <t>Credit Card Charge</t>
        </is>
      </c>
      <c r="D738" t="inlineStr"/>
      <c r="E738" t="inlineStr">
        <is>
          <t>Fabrikam Freight</t>
        </is>
      </c>
      <c r="F738" t="inlineStr">
        <is>
          <t>Outbound freight 2025-04</t>
        </is>
      </c>
      <c r="H738" t="inlineStr">
        <is>
          <t>2100 Vantage Card 3391</t>
        </is>
      </c>
      <c r="I738">
        <f>1846.03</f>
        <v/>
      </c>
      <c r="J738">
        <f>10616.86</f>
        <v/>
      </c>
    </row>
    <row r="739">
      <c r="B739" t="inlineStr">
        <is>
          <t>04/23/2025</t>
        </is>
      </c>
      <c r="C739" t="inlineStr">
        <is>
          <t>Expense</t>
        </is>
      </c>
      <c r="D739" t="inlineStr"/>
      <c r="E739" t="inlineStr">
        <is>
          <t>Fabrikam Freight</t>
        </is>
      </c>
      <c r="F739" t="inlineStr">
        <is>
          <t>Fabrikam Freight invoice 34818</t>
        </is>
      </c>
      <c r="H739" t="inlineStr">
        <is>
          <t>1010 Northgate Checking 7742</t>
        </is>
      </c>
      <c r="I739">
        <f>585.02</f>
        <v/>
      </c>
      <c r="J739">
        <f>11201.88</f>
        <v/>
      </c>
    </row>
    <row r="740">
      <c r="B740" t="inlineStr">
        <is>
          <t>05/21/2025</t>
        </is>
      </c>
      <c r="C740" t="inlineStr">
        <is>
          <t>Expense</t>
        </is>
      </c>
      <c r="D740" t="inlineStr"/>
      <c r="E740" t="inlineStr">
        <is>
          <t>Fabrikam Freight</t>
        </is>
      </c>
      <c r="F740" t="inlineStr">
        <is>
          <t>Fabrikam Freight invoice 58691</t>
        </is>
      </c>
      <c r="H740" t="inlineStr">
        <is>
          <t>1010 Northgate Checking 7742</t>
        </is>
      </c>
      <c r="I740">
        <f>524.83</f>
        <v/>
      </c>
      <c r="J740">
        <f>11726.71</f>
        <v/>
      </c>
    </row>
    <row r="741">
      <c r="B741" t="inlineStr">
        <is>
          <t>05/22/2025</t>
        </is>
      </c>
      <c r="C741" t="inlineStr">
        <is>
          <t>Credit Card Charge</t>
        </is>
      </c>
      <c r="D741" t="inlineStr"/>
      <c r="E741" t="inlineStr">
        <is>
          <t>Fabrikam Freight</t>
        </is>
      </c>
      <c r="F741" t="inlineStr">
        <is>
          <t>Outbound freight 2025-05</t>
        </is>
      </c>
      <c r="H741" t="inlineStr">
        <is>
          <t>Vantage Credit Card 3391</t>
        </is>
      </c>
      <c r="I741">
        <f>1576.48</f>
        <v/>
      </c>
      <c r="J741">
        <f>13303.19</f>
        <v/>
      </c>
    </row>
    <row r="742">
      <c r="B742" t="inlineStr">
        <is>
          <t>05/24/2025</t>
        </is>
      </c>
      <c r="C742" t="inlineStr">
        <is>
          <t>Expense</t>
        </is>
      </c>
      <c r="D742" t="inlineStr"/>
      <c r="E742" t="inlineStr">
        <is>
          <t>Fabrikam Freight</t>
        </is>
      </c>
      <c r="F742" t="inlineStr">
        <is>
          <t>Fabrikam Freight invoice 88053</t>
        </is>
      </c>
      <c r="H742" t="inlineStr">
        <is>
          <t>1010 Northgate Checking 7742</t>
        </is>
      </c>
      <c r="I742">
        <f>629.92</f>
        <v/>
      </c>
      <c r="J742">
        <f>13933.11</f>
        <v/>
      </c>
    </row>
    <row r="743">
      <c r="B743" t="inlineStr">
        <is>
          <t>06/04/2025</t>
        </is>
      </c>
      <c r="C743" t="inlineStr">
        <is>
          <t>Expense</t>
        </is>
      </c>
      <c r="D743" t="inlineStr"/>
      <c r="E743" t="inlineStr">
        <is>
          <t>Fabrikam Freight</t>
        </is>
      </c>
      <c r="F743" t="inlineStr">
        <is>
          <t>Fabrikam Freight invoice 92669</t>
        </is>
      </c>
      <c r="H743" t="inlineStr">
        <is>
          <t>1010 Northgate Checking 7742</t>
        </is>
      </c>
      <c r="I743">
        <f>543.16</f>
        <v/>
      </c>
      <c r="J743">
        <f>14476.27</f>
        <v/>
      </c>
    </row>
    <row r="744">
      <c r="B744" t="inlineStr">
        <is>
          <t>06/22/2025</t>
        </is>
      </c>
      <c r="C744" t="inlineStr">
        <is>
          <t>Credit Card Charge</t>
        </is>
      </c>
      <c r="D744" t="inlineStr"/>
      <c r="E744" t="inlineStr">
        <is>
          <t>Fabrikam Freight</t>
        </is>
      </c>
      <c r="F744" t="inlineStr">
        <is>
          <t>Outbound freight 2025-06</t>
        </is>
      </c>
      <c r="H744" t="inlineStr">
        <is>
          <t>Vantage Credit Card 3391</t>
        </is>
      </c>
      <c r="I744">
        <f>1880.07</f>
        <v/>
      </c>
      <c r="J744">
        <f>16356.34</f>
        <v/>
      </c>
    </row>
    <row r="745">
      <c r="B745" t="inlineStr">
        <is>
          <t>06/24/2025</t>
        </is>
      </c>
      <c r="C745" t="inlineStr">
        <is>
          <t>Expense</t>
        </is>
      </c>
      <c r="D745" t="inlineStr"/>
      <c r="E745" t="inlineStr">
        <is>
          <t>Fabrikam Freight</t>
        </is>
      </c>
      <c r="F745" t="inlineStr">
        <is>
          <t>Fabrikam Freight invoice 80293</t>
        </is>
      </c>
      <c r="H745" t="inlineStr">
        <is>
          <t>1010 Northgate Checking 7742</t>
        </is>
      </c>
      <c r="I745">
        <f>458.77</f>
        <v/>
      </c>
      <c r="J745">
        <f>16815.11</f>
        <v/>
      </c>
    </row>
    <row r="746">
      <c r="B746" t="inlineStr">
        <is>
          <t>07/02/2025</t>
        </is>
      </c>
      <c r="C746" t="inlineStr">
        <is>
          <t>Expense</t>
        </is>
      </c>
      <c r="D746" t="inlineStr"/>
      <c r="E746" t="inlineStr">
        <is>
          <t>Fabrikam Freight</t>
        </is>
      </c>
      <c r="F746" t="inlineStr">
        <is>
          <t>Fabrikam Freight invoice 91111</t>
        </is>
      </c>
      <c r="H746" t="inlineStr">
        <is>
          <t>1010 Northgate Checking 7742</t>
        </is>
      </c>
      <c r="I746">
        <f>754.53</f>
        <v/>
      </c>
      <c r="J746">
        <f>17569.64</f>
        <v/>
      </c>
    </row>
    <row r="747">
      <c r="B747" t="inlineStr">
        <is>
          <t>07/04/2025</t>
        </is>
      </c>
      <c r="C747" t="inlineStr">
        <is>
          <t>Expense</t>
        </is>
      </c>
      <c r="D747" t="inlineStr"/>
      <c r="E747" t="inlineStr">
        <is>
          <t>Fabrikam Freight</t>
        </is>
      </c>
      <c r="F747" t="inlineStr">
        <is>
          <t>Fabrikam Freight invoice 75380</t>
        </is>
      </c>
      <c r="H747" t="inlineStr">
        <is>
          <t>1010 Northgate Checking 7742</t>
        </is>
      </c>
      <c r="I747">
        <f>763.03</f>
        <v/>
      </c>
      <c r="J747">
        <f>18332.67</f>
        <v/>
      </c>
    </row>
    <row r="748">
      <c r="B748" t="inlineStr">
        <is>
          <t>07/05/2025</t>
        </is>
      </c>
      <c r="C748" t="inlineStr">
        <is>
          <t>Expense</t>
        </is>
      </c>
      <c r="D748" t="inlineStr"/>
      <c r="E748" t="inlineStr">
        <is>
          <t>Fabrikam Freight</t>
        </is>
      </c>
      <c r="F748" t="inlineStr">
        <is>
          <t>Fabrikam Freight invoice 35385</t>
        </is>
      </c>
      <c r="H748" t="inlineStr">
        <is>
          <t>1010 Northgate Checking 7742</t>
        </is>
      </c>
      <c r="I748">
        <f>621.04</f>
        <v/>
      </c>
      <c r="J748">
        <f>18953.71</f>
        <v/>
      </c>
    </row>
    <row r="749">
      <c r="B749" t="inlineStr">
        <is>
          <t>07/05/2025</t>
        </is>
      </c>
      <c r="C749" t="inlineStr">
        <is>
          <t>Expense</t>
        </is>
      </c>
      <c r="D749" t="inlineStr"/>
      <c r="E749" t="inlineStr">
        <is>
          <t>Fabrikam Freight</t>
        </is>
      </c>
      <c r="F749" t="inlineStr">
        <is>
          <t>Fabrikam Freight invoice 77054</t>
        </is>
      </c>
      <c r="H749" t="inlineStr">
        <is>
          <t>1010 Northgate Checking 7742</t>
        </is>
      </c>
      <c r="I749">
        <f>230.89</f>
        <v/>
      </c>
      <c r="J749">
        <f>19184.60</f>
        <v/>
      </c>
    </row>
    <row r="750">
      <c r="B750" t="inlineStr">
        <is>
          <t>07/06/2025</t>
        </is>
      </c>
      <c r="C750" t="inlineStr">
        <is>
          <t>Expense</t>
        </is>
      </c>
      <c r="D750" t="inlineStr"/>
      <c r="E750" t="inlineStr">
        <is>
          <t>Fabrikam Freight</t>
        </is>
      </c>
      <c r="F750" t="inlineStr">
        <is>
          <t>Fabrikam Freight invoice 90285</t>
        </is>
      </c>
      <c r="H750" t="inlineStr">
        <is>
          <t>1010 Northgate Checking 7742</t>
        </is>
      </c>
      <c r="I750">
        <f>591.68</f>
        <v/>
      </c>
      <c r="J750">
        <f>19776.28</f>
        <v/>
      </c>
    </row>
    <row r="751">
      <c r="B751" t="inlineStr">
        <is>
          <t>07/10/2025</t>
        </is>
      </c>
      <c r="C751" t="inlineStr">
        <is>
          <t>Expense</t>
        </is>
      </c>
      <c r="D751" t="inlineStr"/>
      <c r="E751" t="inlineStr">
        <is>
          <t>Fabrikam Freight</t>
        </is>
      </c>
      <c r="F751" t="inlineStr">
        <is>
          <t>Fabrikam Freight invoice 30035</t>
        </is>
      </c>
      <c r="H751" t="inlineStr">
        <is>
          <t>1010 Northgate Checking 7742</t>
        </is>
      </c>
      <c r="I751">
        <f>488.51</f>
        <v/>
      </c>
      <c r="J751">
        <f>20264.79</f>
        <v/>
      </c>
    </row>
    <row r="752">
      <c r="B752" t="inlineStr">
        <is>
          <t>07/10/2025</t>
        </is>
      </c>
      <c r="C752" t="inlineStr">
        <is>
          <t>Expense</t>
        </is>
      </c>
      <c r="D752" t="inlineStr"/>
      <c r="E752" t="inlineStr">
        <is>
          <t>Fabrikam Freight</t>
        </is>
      </c>
      <c r="F752" t="inlineStr">
        <is>
          <t>Fabrikam Freight invoice 81571</t>
        </is>
      </c>
      <c r="H752" t="inlineStr">
        <is>
          <t>1010 Northgate Checking 7742</t>
        </is>
      </c>
      <c r="I752">
        <f>229.32</f>
        <v/>
      </c>
      <c r="J752">
        <f>20494.11</f>
        <v/>
      </c>
    </row>
    <row r="753">
      <c r="B753" t="inlineStr">
        <is>
          <t>07/16/2025</t>
        </is>
      </c>
      <c r="C753" t="inlineStr">
        <is>
          <t>Expense</t>
        </is>
      </c>
      <c r="D753" t="inlineStr"/>
      <c r="E753" t="inlineStr">
        <is>
          <t>Fabrikam Freight</t>
        </is>
      </c>
      <c r="F753" t="inlineStr">
        <is>
          <t>Fabrikam Freight invoice 24499</t>
        </is>
      </c>
      <c r="H753" t="inlineStr">
        <is>
          <t>1010 Northgate Checking 7742</t>
        </is>
      </c>
      <c r="I753">
        <f>153.84</f>
        <v/>
      </c>
      <c r="J753">
        <f>20647.95</f>
        <v/>
      </c>
    </row>
    <row r="754">
      <c r="B754" t="inlineStr">
        <is>
          <t>07/22/2025</t>
        </is>
      </c>
      <c r="C754" t="inlineStr">
        <is>
          <t>Credit Card Charge</t>
        </is>
      </c>
      <c r="D754" t="inlineStr"/>
      <c r="E754" t="inlineStr">
        <is>
          <t>Fabrikam Freight</t>
        </is>
      </c>
      <c r="F754" t="inlineStr">
        <is>
          <t>Outbound freight 2025-07</t>
        </is>
      </c>
      <c r="H754" t="inlineStr">
        <is>
          <t>Vantage Credit Card 3391</t>
        </is>
      </c>
      <c r="I754">
        <f>1667.96</f>
        <v/>
      </c>
      <c r="J754">
        <f>22315.91</f>
        <v/>
      </c>
    </row>
    <row r="755">
      <c r="B755" t="inlineStr">
        <is>
          <t>08/04/2025</t>
        </is>
      </c>
      <c r="C755" t="inlineStr">
        <is>
          <t>Expense</t>
        </is>
      </c>
      <c r="D755" t="inlineStr"/>
      <c r="E755" t="inlineStr">
        <is>
          <t>Fabrikam Freight</t>
        </is>
      </c>
      <c r="F755" t="inlineStr">
        <is>
          <t>Fabrikam Freight invoice 92616</t>
        </is>
      </c>
      <c r="H755" t="inlineStr">
        <is>
          <t>1010 Northgate Checking 7742</t>
        </is>
      </c>
      <c r="I755">
        <f>761.97</f>
        <v/>
      </c>
      <c r="J755">
        <f>23077.88</f>
        <v/>
      </c>
    </row>
    <row r="756">
      <c r="B756" t="inlineStr">
        <is>
          <t>08/05/2025</t>
        </is>
      </c>
      <c r="C756" t="inlineStr">
        <is>
          <t>Expense</t>
        </is>
      </c>
      <c r="D756" t="inlineStr"/>
      <c r="E756" t="inlineStr">
        <is>
          <t>Fabrikam Freight</t>
        </is>
      </c>
      <c r="F756" t="inlineStr">
        <is>
          <t>Fabrikam Freight invoice 86089</t>
        </is>
      </c>
      <c r="H756" t="inlineStr">
        <is>
          <t>1010 Northgate Checking 7742</t>
        </is>
      </c>
      <c r="I756">
        <f>409.62</f>
        <v/>
      </c>
      <c r="J756">
        <f>23487.50</f>
        <v/>
      </c>
    </row>
    <row r="757">
      <c r="B757" t="inlineStr">
        <is>
          <t>08/05/2025</t>
        </is>
      </c>
      <c r="C757" t="inlineStr">
        <is>
          <t>Expense</t>
        </is>
      </c>
      <c r="D757" t="inlineStr"/>
      <c r="E757" t="inlineStr">
        <is>
          <t>Fabrikam Freight</t>
        </is>
      </c>
      <c r="F757" t="inlineStr">
        <is>
          <t>Fabrikam Freight invoice 61775</t>
        </is>
      </c>
      <c r="H757" t="inlineStr">
        <is>
          <t>1010 Northgate Checking 7742</t>
        </is>
      </c>
      <c r="I757">
        <f>530.91</f>
        <v/>
      </c>
      <c r="J757">
        <f>24018.41</f>
        <v/>
      </c>
    </row>
    <row r="758">
      <c r="B758" t="inlineStr">
        <is>
          <t>08/09/2025</t>
        </is>
      </c>
      <c r="C758" t="inlineStr">
        <is>
          <t>Expense</t>
        </is>
      </c>
      <c r="D758" t="inlineStr"/>
      <c r="E758" t="inlineStr">
        <is>
          <t>Fabrikam Freight</t>
        </is>
      </c>
      <c r="F758" t="inlineStr">
        <is>
          <t>Fabrikam Freight invoice 16404</t>
        </is>
      </c>
      <c r="H758" t="inlineStr">
        <is>
          <t>1010 Northgate Checking 7742</t>
        </is>
      </c>
      <c r="I758">
        <f>586.56</f>
        <v/>
      </c>
      <c r="J758">
        <f>24604.97</f>
        <v/>
      </c>
    </row>
    <row r="759">
      <c r="B759" t="inlineStr">
        <is>
          <t>08/22/2025</t>
        </is>
      </c>
      <c r="C759" t="inlineStr">
        <is>
          <t>Expense</t>
        </is>
      </c>
      <c r="D759" t="inlineStr"/>
      <c r="E759" t="inlineStr">
        <is>
          <t>Fabrikam Freight</t>
        </is>
      </c>
      <c r="F759" t="inlineStr">
        <is>
          <t>Fabrikam Freight invoice 93441</t>
        </is>
      </c>
      <c r="H759" t="inlineStr">
        <is>
          <t>1010 Northgate Checking 7742</t>
        </is>
      </c>
      <c r="I759">
        <f>174.74</f>
        <v/>
      </c>
      <c r="J759">
        <f>24779.71</f>
        <v/>
      </c>
    </row>
    <row r="760">
      <c r="B760" t="inlineStr">
        <is>
          <t>09/03/2025</t>
        </is>
      </c>
      <c r="C760" t="inlineStr">
        <is>
          <t>Expense</t>
        </is>
      </c>
      <c r="D760" t="inlineStr"/>
      <c r="E760" t="inlineStr">
        <is>
          <t>Fabrikam Freight</t>
        </is>
      </c>
      <c r="F760" t="inlineStr">
        <is>
          <t>Fabrikam Freight invoice 75001</t>
        </is>
      </c>
      <c r="H760" t="inlineStr">
        <is>
          <t>1010 Northgate Checking 7742</t>
        </is>
      </c>
      <c r="I760">
        <f>446.99</f>
        <v/>
      </c>
      <c r="J760">
        <f>25226.70</f>
        <v/>
      </c>
    </row>
    <row r="761">
      <c r="B761" t="inlineStr">
        <is>
          <t>09/09/2025</t>
        </is>
      </c>
      <c r="C761" t="inlineStr">
        <is>
          <t>Expense</t>
        </is>
      </c>
      <c r="D761" t="inlineStr"/>
      <c r="E761" t="inlineStr">
        <is>
          <t>Fabrikam Freight</t>
        </is>
      </c>
      <c r="F761" t="inlineStr">
        <is>
          <t>Fabrikam Freight invoice 13825</t>
        </is>
      </c>
      <c r="H761" t="inlineStr">
        <is>
          <t>1010 Northgate Checking 7742</t>
        </is>
      </c>
      <c r="I761">
        <f>611.40</f>
        <v/>
      </c>
      <c r="J761">
        <f>25838.10</f>
        <v/>
      </c>
    </row>
    <row r="762">
      <c r="B762" t="inlineStr">
        <is>
          <t>09/09/2025</t>
        </is>
      </c>
      <c r="C762" t="inlineStr">
        <is>
          <t>Expense</t>
        </is>
      </c>
      <c r="D762" t="inlineStr"/>
      <c r="E762" t="inlineStr">
        <is>
          <t>Fabrikam Freight</t>
        </is>
      </c>
      <c r="F762" t="inlineStr">
        <is>
          <t>Fabrikam Freight invoice 73321</t>
        </is>
      </c>
      <c r="H762" t="inlineStr">
        <is>
          <t>1010 Northgate Checking 7742</t>
        </is>
      </c>
      <c r="I762">
        <f>499.17</f>
        <v/>
      </c>
      <c r="J762">
        <f>26337.27</f>
        <v/>
      </c>
    </row>
    <row r="763">
      <c r="B763" t="inlineStr">
        <is>
          <t>09/11/2025</t>
        </is>
      </c>
      <c r="C763" t="inlineStr">
        <is>
          <t>Expense</t>
        </is>
      </c>
      <c r="D763" t="inlineStr"/>
      <c r="E763" t="inlineStr">
        <is>
          <t>Fabrikam Freight</t>
        </is>
      </c>
      <c r="F763" t="inlineStr">
        <is>
          <t>Fabrikam Freight invoice 81665</t>
        </is>
      </c>
      <c r="H763" t="inlineStr">
        <is>
          <t>1010 Northgate Checking 7742</t>
        </is>
      </c>
      <c r="I763">
        <f>468.52</f>
        <v/>
      </c>
      <c r="J763">
        <f>26805.79</f>
        <v/>
      </c>
    </row>
    <row r="764">
      <c r="B764" t="inlineStr">
        <is>
          <t>09/15/2025</t>
        </is>
      </c>
      <c r="C764" t="inlineStr">
        <is>
          <t>Expense</t>
        </is>
      </c>
      <c r="D764" t="inlineStr"/>
      <c r="E764" t="inlineStr">
        <is>
          <t>Fabrikam Freight</t>
        </is>
      </c>
      <c r="F764" t="inlineStr">
        <is>
          <t>Fabrikam Freight invoice 93631</t>
        </is>
      </c>
      <c r="H764" t="inlineStr">
        <is>
          <t>1010 Northgate Checking 7742</t>
        </is>
      </c>
      <c r="I764">
        <f>527.94</f>
        <v/>
      </c>
      <c r="J764">
        <f>27333.73</f>
        <v/>
      </c>
    </row>
    <row r="765">
      <c r="B765" t="inlineStr">
        <is>
          <t>09/16/2025</t>
        </is>
      </c>
      <c r="C765" t="inlineStr">
        <is>
          <t>Expense</t>
        </is>
      </c>
      <c r="D765" t="inlineStr"/>
      <c r="E765" t="inlineStr">
        <is>
          <t>Fabrikam Freight</t>
        </is>
      </c>
      <c r="F765" t="inlineStr">
        <is>
          <t>Fabrikam Freight invoice 71962</t>
        </is>
      </c>
      <c r="H765" t="inlineStr">
        <is>
          <t>1010 Northgate Checking 7742</t>
        </is>
      </c>
      <c r="I765">
        <f>620.91</f>
        <v/>
      </c>
      <c r="J765">
        <f>27954.64</f>
        <v/>
      </c>
    </row>
    <row r="766">
      <c r="B766" t="inlineStr">
        <is>
          <t>09/17/2025</t>
        </is>
      </c>
      <c r="C766" t="inlineStr">
        <is>
          <t>Expense</t>
        </is>
      </c>
      <c r="D766" t="inlineStr"/>
      <c r="E766" t="inlineStr">
        <is>
          <t>Fabrikam Freight</t>
        </is>
      </c>
      <c r="F766" t="inlineStr">
        <is>
          <t>Fabrikam Freight invoice 64066</t>
        </is>
      </c>
      <c r="H766" t="inlineStr">
        <is>
          <t>1010 Northgate Checking 7742</t>
        </is>
      </c>
      <c r="I766">
        <f>509.74</f>
        <v/>
      </c>
      <c r="J766">
        <f>28464.38</f>
        <v/>
      </c>
    </row>
    <row r="767">
      <c r="B767" t="inlineStr">
        <is>
          <t>09/24/2025</t>
        </is>
      </c>
      <c r="C767" t="inlineStr">
        <is>
          <t>Expense</t>
        </is>
      </c>
      <c r="D767" t="inlineStr"/>
      <c r="E767" t="inlineStr">
        <is>
          <t>Fabrikam Freight</t>
        </is>
      </c>
      <c r="F767" t="inlineStr">
        <is>
          <t>Fabrikam Freight invoice 93489</t>
        </is>
      </c>
      <c r="H767" t="inlineStr">
        <is>
          <t>1010 Northgate Checking 7742</t>
        </is>
      </c>
      <c r="I767">
        <f>457.12</f>
        <v/>
      </c>
      <c r="J767">
        <f>28921.50</f>
        <v/>
      </c>
    </row>
    <row r="768">
      <c r="A768" t="inlineStr">
        <is>
          <t>Total for 5100 Shipping and Freight</t>
        </is>
      </c>
      <c r="I768">
        <f>28921.50</f>
        <v/>
      </c>
    </row>
    <row r="769"/>
    <row r="770">
      <c r="A770" t="inlineStr">
        <is>
          <t>6000 Salaries and Wages</t>
        </is>
      </c>
    </row>
    <row r="771">
      <c r="G771" t="inlineStr">
        <is>
          <t>Beginning Balance</t>
        </is>
      </c>
      <c r="J771">
        <f>0.00</f>
        <v/>
      </c>
    </row>
    <row r="772">
      <c r="B772" t="inlineStr">
        <is>
          <t>01/15/2025</t>
        </is>
      </c>
      <c r="C772" t="inlineStr">
        <is>
          <t>Expense</t>
        </is>
      </c>
      <c r="D772" t="inlineStr"/>
      <c r="E772" t="inlineStr">
        <is>
          <t>Proseware Payroll</t>
        </is>
      </c>
      <c r="F772" t="inlineStr">
        <is>
          <t>Payroll 2025-01-15 gross wages</t>
        </is>
      </c>
      <c r="H772" t="inlineStr">
        <is>
          <t>-Split-</t>
        </is>
      </c>
      <c r="I772">
        <f>19000.00</f>
        <v/>
      </c>
      <c r="J772">
        <f>19000.00</f>
        <v/>
      </c>
    </row>
    <row r="773">
      <c r="B773" t="inlineStr">
        <is>
          <t>01/31/2025</t>
        </is>
      </c>
      <c r="C773" t="inlineStr">
        <is>
          <t>Expense</t>
        </is>
      </c>
      <c r="D773" t="inlineStr"/>
      <c r="E773" t="inlineStr">
        <is>
          <t>Proseware Payroll</t>
        </is>
      </c>
      <c r="F773" t="inlineStr">
        <is>
          <t>Payroll 2025-01-31 gross wages</t>
        </is>
      </c>
      <c r="H773" t="inlineStr">
        <is>
          <t>-Split-</t>
        </is>
      </c>
      <c r="I773">
        <f>19000.00</f>
        <v/>
      </c>
      <c r="J773">
        <f>38000.00</f>
        <v/>
      </c>
    </row>
    <row r="774">
      <c r="B774" t="inlineStr">
        <is>
          <t>02/15/2025</t>
        </is>
      </c>
      <c r="C774" t="inlineStr">
        <is>
          <t>Expense</t>
        </is>
      </c>
      <c r="D774" t="inlineStr"/>
      <c r="E774" t="inlineStr">
        <is>
          <t>Proseware Payroll</t>
        </is>
      </c>
      <c r="F774" t="inlineStr">
        <is>
          <t>Payroll 2025-02-15 gross wages</t>
        </is>
      </c>
      <c r="H774" t="inlineStr">
        <is>
          <t>-Split-</t>
        </is>
      </c>
      <c r="I774">
        <f>19450.00</f>
        <v/>
      </c>
      <c r="J774">
        <f>57450.00</f>
        <v/>
      </c>
    </row>
    <row r="775">
      <c r="B775" t="inlineStr">
        <is>
          <t>02/28/2025</t>
        </is>
      </c>
      <c r="C775" t="inlineStr">
        <is>
          <t>Expense</t>
        </is>
      </c>
      <c r="D775" t="inlineStr"/>
      <c r="E775" t="inlineStr">
        <is>
          <t>Proseware Payroll</t>
        </is>
      </c>
      <c r="F775" t="inlineStr">
        <is>
          <t>Payroll 2025-02-28 gross wages</t>
        </is>
      </c>
      <c r="H775" t="inlineStr">
        <is>
          <t>-Split-</t>
        </is>
      </c>
      <c r="I775">
        <f>19450.00</f>
        <v/>
      </c>
      <c r="J775">
        <f>76900.00</f>
        <v/>
      </c>
    </row>
    <row r="776">
      <c r="B776" t="inlineStr">
        <is>
          <t>03/15/2025</t>
        </is>
      </c>
      <c r="C776" t="inlineStr">
        <is>
          <t>Expense</t>
        </is>
      </c>
      <c r="D776" t="inlineStr"/>
      <c r="E776" t="inlineStr">
        <is>
          <t>Proseware Payroll</t>
        </is>
      </c>
      <c r="F776" t="inlineStr">
        <is>
          <t>Payroll 2025-03-15 gross wages</t>
        </is>
      </c>
      <c r="H776" t="inlineStr">
        <is>
          <t>-Split-</t>
        </is>
      </c>
      <c r="I776">
        <f>19900.00</f>
        <v/>
      </c>
      <c r="J776">
        <f>96800.00</f>
        <v/>
      </c>
    </row>
    <row r="777">
      <c r="B777" t="inlineStr">
        <is>
          <t>03/31/2025</t>
        </is>
      </c>
      <c r="C777" t="inlineStr">
        <is>
          <t>Expense</t>
        </is>
      </c>
      <c r="D777" t="inlineStr"/>
      <c r="E777" t="inlineStr">
        <is>
          <t>Proseware Payroll</t>
        </is>
      </c>
      <c r="F777" t="inlineStr">
        <is>
          <t>Payroll 2025-03-31 gross wages</t>
        </is>
      </c>
      <c r="H777" t="inlineStr">
        <is>
          <t>-Split-</t>
        </is>
      </c>
      <c r="I777">
        <f>19900.00</f>
        <v/>
      </c>
      <c r="J777">
        <f>116700.00</f>
        <v/>
      </c>
    </row>
    <row r="778">
      <c r="B778" t="inlineStr">
        <is>
          <t>04/15/2025</t>
        </is>
      </c>
      <c r="C778" t="inlineStr">
        <is>
          <t>Expense</t>
        </is>
      </c>
      <c r="D778" t="inlineStr"/>
      <c r="E778" t="inlineStr">
        <is>
          <t>Proseware Payroll</t>
        </is>
      </c>
      <c r="F778" t="inlineStr">
        <is>
          <t>Payroll 2025-04-15 gross wages</t>
        </is>
      </c>
      <c r="H778" t="inlineStr">
        <is>
          <t>-Split-</t>
        </is>
      </c>
      <c r="I778">
        <f>20350.00</f>
        <v/>
      </c>
      <c r="J778">
        <f>137050.00</f>
        <v/>
      </c>
    </row>
    <row r="779">
      <c r="B779" t="inlineStr">
        <is>
          <t>04/30/2025</t>
        </is>
      </c>
      <c r="C779" t="inlineStr">
        <is>
          <t>Expense</t>
        </is>
      </c>
      <c r="D779" t="inlineStr"/>
      <c r="E779" t="inlineStr">
        <is>
          <t>Proseware Payroll</t>
        </is>
      </c>
      <c r="F779" t="inlineStr">
        <is>
          <t>Payroll 2025-04-30 gross wages</t>
        </is>
      </c>
      <c r="H779" t="inlineStr">
        <is>
          <t>-Split-</t>
        </is>
      </c>
      <c r="I779">
        <f>20350.00</f>
        <v/>
      </c>
      <c r="J779">
        <f>157400.00</f>
        <v/>
      </c>
    </row>
    <row r="780">
      <c r="B780" t="inlineStr">
        <is>
          <t>05/15/2025</t>
        </is>
      </c>
      <c r="C780" t="inlineStr">
        <is>
          <t>Expense</t>
        </is>
      </c>
      <c r="D780" t="inlineStr"/>
      <c r="E780" t="inlineStr">
        <is>
          <t>Proseware Payroll</t>
        </is>
      </c>
      <c r="F780" t="inlineStr">
        <is>
          <t>Payroll 2025-05-15 gross wages</t>
        </is>
      </c>
      <c r="H780" t="inlineStr">
        <is>
          <t>-Split-</t>
        </is>
      </c>
      <c r="I780">
        <f>20800.00</f>
        <v/>
      </c>
      <c r="J780">
        <f>178200.00</f>
        <v/>
      </c>
    </row>
    <row r="781">
      <c r="B781" t="inlineStr">
        <is>
          <t>05/31/2025</t>
        </is>
      </c>
      <c r="C781" t="inlineStr">
        <is>
          <t>Expense</t>
        </is>
      </c>
      <c r="D781" t="inlineStr"/>
      <c r="E781" t="inlineStr">
        <is>
          <t>Proseware Payroll</t>
        </is>
      </c>
      <c r="F781" t="inlineStr">
        <is>
          <t>Payroll 2025-05-31 gross wages</t>
        </is>
      </c>
      <c r="H781" t="inlineStr">
        <is>
          <t>-Split-</t>
        </is>
      </c>
      <c r="I781">
        <f>20800.00</f>
        <v/>
      </c>
      <c r="J781">
        <f>199000.00</f>
        <v/>
      </c>
    </row>
    <row r="782">
      <c r="B782" t="inlineStr">
        <is>
          <t>06/15/2025</t>
        </is>
      </c>
      <c r="C782" t="inlineStr">
        <is>
          <t>Expense</t>
        </is>
      </c>
      <c r="D782" t="inlineStr"/>
      <c r="E782" t="inlineStr">
        <is>
          <t>Proseware Payroll</t>
        </is>
      </c>
      <c r="F782" t="inlineStr">
        <is>
          <t>Payroll 2025-06-15 gross wages</t>
        </is>
      </c>
      <c r="H782" t="inlineStr">
        <is>
          <t>-Split-</t>
        </is>
      </c>
      <c r="I782">
        <f>21250.00</f>
        <v/>
      </c>
      <c r="J782">
        <f>220250.00</f>
        <v/>
      </c>
    </row>
    <row r="783">
      <c r="B783" t="inlineStr">
        <is>
          <t>06/30/2025</t>
        </is>
      </c>
      <c r="C783" t="inlineStr">
        <is>
          <t>Expense</t>
        </is>
      </c>
      <c r="D783" t="inlineStr"/>
      <c r="E783" t="inlineStr">
        <is>
          <t>Proseware Payroll</t>
        </is>
      </c>
      <c r="F783" t="inlineStr">
        <is>
          <t>Payroll 2025-06-30 gross wages</t>
        </is>
      </c>
      <c r="H783" t="inlineStr">
        <is>
          <t>-Split-</t>
        </is>
      </c>
      <c r="I783">
        <f>21250.00</f>
        <v/>
      </c>
      <c r="J783">
        <f>241500.00</f>
        <v/>
      </c>
    </row>
    <row r="784">
      <c r="B784" t="inlineStr">
        <is>
          <t>07/15/2025</t>
        </is>
      </c>
      <c r="C784" t="inlineStr">
        <is>
          <t>Expense</t>
        </is>
      </c>
      <c r="D784" t="inlineStr"/>
      <c r="E784" t="inlineStr">
        <is>
          <t>Proseware Payroll</t>
        </is>
      </c>
      <c r="F784" t="inlineStr">
        <is>
          <t>Payroll 2025-07-15 gross wages</t>
        </is>
      </c>
      <c r="H784" t="inlineStr">
        <is>
          <t>-Split-</t>
        </is>
      </c>
      <c r="I784">
        <f>21700.00</f>
        <v/>
      </c>
      <c r="J784">
        <f>263200.00</f>
        <v/>
      </c>
    </row>
    <row r="785">
      <c r="B785" t="inlineStr">
        <is>
          <t>07/31/2025</t>
        </is>
      </c>
      <c r="C785" t="inlineStr">
        <is>
          <t>Expense</t>
        </is>
      </c>
      <c r="D785" t="inlineStr"/>
      <c r="E785" t="inlineStr">
        <is>
          <t>Proseware Payroll</t>
        </is>
      </c>
      <c r="F785" t="inlineStr">
        <is>
          <t>Payroll 2025-07-31 gross wages</t>
        </is>
      </c>
      <c r="H785" t="inlineStr">
        <is>
          <t>-Split-</t>
        </is>
      </c>
      <c r="I785">
        <f>21700.00</f>
        <v/>
      </c>
      <c r="J785">
        <f>284900.00</f>
        <v/>
      </c>
    </row>
    <row r="786">
      <c r="B786" t="inlineStr">
        <is>
          <t>08/15/2025</t>
        </is>
      </c>
      <c r="C786" t="inlineStr">
        <is>
          <t>Expense</t>
        </is>
      </c>
      <c r="D786" t="inlineStr"/>
      <c r="E786" t="inlineStr">
        <is>
          <t>Proseware Payroll</t>
        </is>
      </c>
      <c r="F786" t="inlineStr">
        <is>
          <t>Payroll 2025-08-15 gross wages</t>
        </is>
      </c>
      <c r="H786" t="inlineStr">
        <is>
          <t>-Split-</t>
        </is>
      </c>
      <c r="I786">
        <f>22150.00</f>
        <v/>
      </c>
      <c r="J786">
        <f>307050.00</f>
        <v/>
      </c>
    </row>
    <row r="787">
      <c r="B787" t="inlineStr">
        <is>
          <t>08/31/2025</t>
        </is>
      </c>
      <c r="C787" t="inlineStr">
        <is>
          <t>Expense</t>
        </is>
      </c>
      <c r="D787" t="inlineStr"/>
      <c r="E787" t="inlineStr">
        <is>
          <t>Proseware Payroll</t>
        </is>
      </c>
      <c r="F787" t="inlineStr">
        <is>
          <t>Payroll 2025-08-31 gross wages</t>
        </is>
      </c>
      <c r="H787" t="inlineStr">
        <is>
          <t>-Split-</t>
        </is>
      </c>
      <c r="I787">
        <f>22150.00</f>
        <v/>
      </c>
      <c r="J787">
        <f>329200.00</f>
        <v/>
      </c>
    </row>
    <row r="788">
      <c r="B788" t="inlineStr">
        <is>
          <t>09/15/2025</t>
        </is>
      </c>
      <c r="C788" t="inlineStr">
        <is>
          <t>Expense</t>
        </is>
      </c>
      <c r="D788" t="inlineStr"/>
      <c r="E788" t="inlineStr">
        <is>
          <t>Proseware Payroll</t>
        </is>
      </c>
      <c r="F788" t="inlineStr">
        <is>
          <t>Payroll 2025-09-15 gross wages</t>
        </is>
      </c>
      <c r="H788" t="inlineStr">
        <is>
          <t>-Split-</t>
        </is>
      </c>
      <c r="I788">
        <f>22600.00</f>
        <v/>
      </c>
      <c r="J788">
        <f>351800.00</f>
        <v/>
      </c>
    </row>
    <row r="789">
      <c r="B789" t="inlineStr">
        <is>
          <t>09/30/2025</t>
        </is>
      </c>
      <c r="C789" t="inlineStr">
        <is>
          <t>Expense</t>
        </is>
      </c>
      <c r="D789" t="inlineStr"/>
      <c r="E789" t="inlineStr">
        <is>
          <t>Proseware Payroll</t>
        </is>
      </c>
      <c r="F789" t="inlineStr">
        <is>
          <t>Payroll 2025-09-30 gross wages</t>
        </is>
      </c>
      <c r="H789" t="inlineStr">
        <is>
          <t>-Split-</t>
        </is>
      </c>
      <c r="I789">
        <f>22600.00</f>
        <v/>
      </c>
      <c r="J789">
        <f>374400.00</f>
        <v/>
      </c>
    </row>
    <row r="790">
      <c r="B790" t="inlineStr">
        <is>
          <t>10/15/2025</t>
        </is>
      </c>
      <c r="C790" t="inlineStr">
        <is>
          <t>Journal Entry</t>
        </is>
      </c>
      <c r="D790" t="inlineStr">
        <is>
          <t>JE-1037</t>
        </is>
      </c>
      <c r="E790" t="inlineStr">
        <is>
          <t>Proseware Payroll</t>
        </is>
      </c>
      <c r="F790" t="inlineStr">
        <is>
          <t>Payroll 2025-10-15 gross wages</t>
        </is>
      </c>
      <c r="H790" t="inlineStr">
        <is>
          <t>-Split-</t>
        </is>
      </c>
      <c r="I790">
        <f>23050.00</f>
        <v/>
      </c>
      <c r="J790">
        <f>397450.00</f>
        <v/>
      </c>
    </row>
    <row r="791">
      <c r="B791" t="inlineStr">
        <is>
          <t>10/31/2025</t>
        </is>
      </c>
      <c r="C791" t="inlineStr">
        <is>
          <t>Journal Entry</t>
        </is>
      </c>
      <c r="D791" t="inlineStr">
        <is>
          <t>JE-1038</t>
        </is>
      </c>
      <c r="E791" t="inlineStr">
        <is>
          <t>Proseware Payroll</t>
        </is>
      </c>
      <c r="F791" t="inlineStr">
        <is>
          <t>Payroll 2025-10-31 gross wages</t>
        </is>
      </c>
      <c r="H791" t="inlineStr">
        <is>
          <t>-Split-</t>
        </is>
      </c>
      <c r="I791">
        <f>23050.00</f>
        <v/>
      </c>
      <c r="J791">
        <f>420500.00</f>
        <v/>
      </c>
    </row>
    <row r="792">
      <c r="B792" t="inlineStr">
        <is>
          <t>11/15/2025</t>
        </is>
      </c>
      <c r="C792" t="inlineStr">
        <is>
          <t>Journal Entry</t>
        </is>
      </c>
      <c r="D792" t="inlineStr">
        <is>
          <t>JE-1042</t>
        </is>
      </c>
      <c r="E792" t="inlineStr">
        <is>
          <t>Proseware Payroll</t>
        </is>
      </c>
      <c r="F792" t="inlineStr">
        <is>
          <t>Payroll 2025-11-15 gross wages</t>
        </is>
      </c>
      <c r="H792" t="inlineStr">
        <is>
          <t>-Split-</t>
        </is>
      </c>
      <c r="I792">
        <f>23500.00</f>
        <v/>
      </c>
      <c r="J792">
        <f>444000.00</f>
        <v/>
      </c>
    </row>
    <row r="793">
      <c r="B793" t="inlineStr">
        <is>
          <t>11/30/2025</t>
        </is>
      </c>
      <c r="C793" t="inlineStr">
        <is>
          <t>Journal Entry</t>
        </is>
      </c>
      <c r="D793" t="inlineStr">
        <is>
          <t>JE-1043</t>
        </is>
      </c>
      <c r="E793" t="inlineStr">
        <is>
          <t>Proseware Payroll</t>
        </is>
      </c>
      <c r="F793" t="inlineStr">
        <is>
          <t>Payroll 2025-11-30 gross wages</t>
        </is>
      </c>
      <c r="H793" t="inlineStr">
        <is>
          <t>-Split-</t>
        </is>
      </c>
      <c r="I793">
        <f>23500.00</f>
        <v/>
      </c>
      <c r="J793">
        <f>467500.00</f>
        <v/>
      </c>
    </row>
    <row r="794">
      <c r="B794" t="inlineStr">
        <is>
          <t>12/15/2025</t>
        </is>
      </c>
      <c r="C794" t="inlineStr">
        <is>
          <t>Journal Entry</t>
        </is>
      </c>
      <c r="D794" t="inlineStr">
        <is>
          <t>JE-1047</t>
        </is>
      </c>
      <c r="E794" t="inlineStr">
        <is>
          <t>Proseware Payroll</t>
        </is>
      </c>
      <c r="F794" t="inlineStr">
        <is>
          <t>Payroll 2025-12-15 gross wages</t>
        </is>
      </c>
      <c r="H794" t="inlineStr">
        <is>
          <t>-Split-</t>
        </is>
      </c>
      <c r="I794">
        <f>23950.00</f>
        <v/>
      </c>
      <c r="J794">
        <f>491450.00</f>
        <v/>
      </c>
    </row>
    <row r="795">
      <c r="B795" t="inlineStr">
        <is>
          <t>12/31/2025</t>
        </is>
      </c>
      <c r="C795" t="inlineStr">
        <is>
          <t>Journal Entry</t>
        </is>
      </c>
      <c r="D795" t="inlineStr">
        <is>
          <t>JE-1048</t>
        </is>
      </c>
      <c r="E795" t="inlineStr">
        <is>
          <t>Proseware Payroll</t>
        </is>
      </c>
      <c r="F795" t="inlineStr">
        <is>
          <t>Payroll 2025-12-31 gross wages</t>
        </is>
      </c>
      <c r="H795" t="inlineStr">
        <is>
          <t>-Split-</t>
        </is>
      </c>
      <c r="I795">
        <f>23950.00</f>
        <v/>
      </c>
      <c r="J795">
        <f>515400.00</f>
        <v/>
      </c>
    </row>
    <row r="796">
      <c r="A796" t="inlineStr">
        <is>
          <t>Total for 6000 Salaries and Wages</t>
        </is>
      </c>
      <c r="I796">
        <f>515400.00</f>
        <v/>
      </c>
    </row>
    <row r="797"/>
    <row r="798">
      <c r="A798" t="inlineStr">
        <is>
          <t>6010 Payroll Taxes</t>
        </is>
      </c>
    </row>
    <row r="799">
      <c r="G799" t="inlineStr">
        <is>
          <t>Beginning Balance</t>
        </is>
      </c>
      <c r="J799">
        <f>0.00</f>
        <v/>
      </c>
    </row>
    <row r="800">
      <c r="B800" t="inlineStr">
        <is>
          <t>01/15/2025</t>
        </is>
      </c>
      <c r="C800" t="inlineStr">
        <is>
          <t>Expense</t>
        </is>
      </c>
      <c r="D800" t="inlineStr"/>
      <c r="E800" t="inlineStr">
        <is>
          <t>Proseware Payroll</t>
        </is>
      </c>
      <c r="F800" t="inlineStr">
        <is>
          <t>Payroll 2025-01-15 employer taxes</t>
        </is>
      </c>
      <c r="H800" t="inlineStr">
        <is>
          <t>-Split-</t>
        </is>
      </c>
      <c r="I800">
        <f>1453.50</f>
        <v/>
      </c>
      <c r="J800">
        <f>1453.50</f>
        <v/>
      </c>
    </row>
    <row r="801">
      <c r="B801" t="inlineStr">
        <is>
          <t>01/31/2025</t>
        </is>
      </c>
      <c r="C801" t="inlineStr">
        <is>
          <t>Expense</t>
        </is>
      </c>
      <c r="D801" t="inlineStr"/>
      <c r="E801" t="inlineStr">
        <is>
          <t>Proseware Payroll</t>
        </is>
      </c>
      <c r="F801" t="inlineStr">
        <is>
          <t>Payroll 2025-01-31 employer taxes</t>
        </is>
      </c>
      <c r="H801" t="inlineStr">
        <is>
          <t>-Split-</t>
        </is>
      </c>
      <c r="I801">
        <f>1453.50</f>
        <v/>
      </c>
      <c r="J801">
        <f>2907.00</f>
        <v/>
      </c>
    </row>
    <row r="802">
      <c r="B802" t="inlineStr">
        <is>
          <t>02/15/2025</t>
        </is>
      </c>
      <c r="C802" t="inlineStr">
        <is>
          <t>Expense</t>
        </is>
      </c>
      <c r="D802" t="inlineStr"/>
      <c r="E802" t="inlineStr">
        <is>
          <t>Proseware Payroll</t>
        </is>
      </c>
      <c r="F802" t="inlineStr">
        <is>
          <t>Payroll 2025-02-15 employer taxes</t>
        </is>
      </c>
      <c r="H802" t="inlineStr">
        <is>
          <t>-Split-</t>
        </is>
      </c>
      <c r="I802">
        <f>1487.92</f>
        <v/>
      </c>
      <c r="J802">
        <f>4394.92</f>
        <v/>
      </c>
    </row>
    <row r="803">
      <c r="B803" t="inlineStr">
        <is>
          <t>02/28/2025</t>
        </is>
      </c>
      <c r="C803" t="inlineStr">
        <is>
          <t>Expense</t>
        </is>
      </c>
      <c r="D803" t="inlineStr"/>
      <c r="E803" t="inlineStr">
        <is>
          <t>Proseware Payroll</t>
        </is>
      </c>
      <c r="F803" t="inlineStr">
        <is>
          <t>Payroll 2025-02-28 employer taxes</t>
        </is>
      </c>
      <c r="H803" t="inlineStr">
        <is>
          <t>-Split-</t>
        </is>
      </c>
      <c r="I803">
        <f>1487.92</f>
        <v/>
      </c>
      <c r="J803">
        <f>5882.84</f>
        <v/>
      </c>
    </row>
    <row r="804">
      <c r="B804" t="inlineStr">
        <is>
          <t>03/15/2025</t>
        </is>
      </c>
      <c r="C804" t="inlineStr">
        <is>
          <t>Expense</t>
        </is>
      </c>
      <c r="D804" t="inlineStr"/>
      <c r="E804" t="inlineStr">
        <is>
          <t>Proseware Payroll</t>
        </is>
      </c>
      <c r="F804" t="inlineStr">
        <is>
          <t>Payroll 2025-03-15 employer taxes</t>
        </is>
      </c>
      <c r="H804" t="inlineStr">
        <is>
          <t>-Split-</t>
        </is>
      </c>
      <c r="I804">
        <f>1522.35</f>
        <v/>
      </c>
      <c r="J804">
        <f>7405.19</f>
        <v/>
      </c>
    </row>
    <row r="805">
      <c r="B805" t="inlineStr">
        <is>
          <t>03/31/2025</t>
        </is>
      </c>
      <c r="C805" t="inlineStr">
        <is>
          <t>Expense</t>
        </is>
      </c>
      <c r="D805" t="inlineStr"/>
      <c r="E805" t="inlineStr">
        <is>
          <t>Proseware Payroll</t>
        </is>
      </c>
      <c r="F805" t="inlineStr">
        <is>
          <t>Payroll 2025-03-31 employer taxes</t>
        </is>
      </c>
      <c r="H805" t="inlineStr">
        <is>
          <t>-Split-</t>
        </is>
      </c>
      <c r="I805">
        <f>1522.35</f>
        <v/>
      </c>
      <c r="J805">
        <f>8927.54</f>
        <v/>
      </c>
    </row>
    <row r="806">
      <c r="B806" t="inlineStr">
        <is>
          <t>04/15/2025</t>
        </is>
      </c>
      <c r="C806" t="inlineStr">
        <is>
          <t>Expense</t>
        </is>
      </c>
      <c r="D806" t="inlineStr"/>
      <c r="E806" t="inlineStr">
        <is>
          <t>Proseware Payroll</t>
        </is>
      </c>
      <c r="F806" t="inlineStr">
        <is>
          <t>Payroll 2025-04-15 employer taxes</t>
        </is>
      </c>
      <c r="H806" t="inlineStr">
        <is>
          <t>-Split-</t>
        </is>
      </c>
      <c r="I806">
        <f>1556.78</f>
        <v/>
      </c>
      <c r="J806">
        <f>10484.32</f>
        <v/>
      </c>
    </row>
    <row r="807">
      <c r="B807" t="inlineStr">
        <is>
          <t>04/30/2025</t>
        </is>
      </c>
      <c r="C807" t="inlineStr">
        <is>
          <t>Expense</t>
        </is>
      </c>
      <c r="D807" t="inlineStr"/>
      <c r="E807" t="inlineStr">
        <is>
          <t>Proseware Payroll</t>
        </is>
      </c>
      <c r="F807" t="inlineStr">
        <is>
          <t>Payroll 2025-04-30 employer taxes</t>
        </is>
      </c>
      <c r="H807" t="inlineStr">
        <is>
          <t>-Split-</t>
        </is>
      </c>
      <c r="I807">
        <f>1556.78</f>
        <v/>
      </c>
      <c r="J807">
        <f>12041.10</f>
        <v/>
      </c>
    </row>
    <row r="808">
      <c r="B808" t="inlineStr">
        <is>
          <t>05/15/2025</t>
        </is>
      </c>
      <c r="C808" t="inlineStr">
        <is>
          <t>Expense</t>
        </is>
      </c>
      <c r="D808" t="inlineStr"/>
      <c r="E808" t="inlineStr">
        <is>
          <t>Proseware Payroll</t>
        </is>
      </c>
      <c r="F808" t="inlineStr">
        <is>
          <t>Payroll 2025-05-15 employer taxes</t>
        </is>
      </c>
      <c r="H808" t="inlineStr">
        <is>
          <t>-Split-</t>
        </is>
      </c>
      <c r="I808">
        <f>1591.20</f>
        <v/>
      </c>
      <c r="J808">
        <f>13632.30</f>
        <v/>
      </c>
    </row>
    <row r="809">
      <c r="B809" t="inlineStr">
        <is>
          <t>05/31/2025</t>
        </is>
      </c>
      <c r="C809" t="inlineStr">
        <is>
          <t>Expense</t>
        </is>
      </c>
      <c r="D809" t="inlineStr"/>
      <c r="E809" t="inlineStr">
        <is>
          <t>Proseware Payroll</t>
        </is>
      </c>
      <c r="F809" t="inlineStr">
        <is>
          <t>Payroll 2025-05-31 employer taxes</t>
        </is>
      </c>
      <c r="H809" t="inlineStr">
        <is>
          <t>-Split-</t>
        </is>
      </c>
      <c r="I809">
        <f>1591.20</f>
        <v/>
      </c>
      <c r="J809">
        <f>15223.50</f>
        <v/>
      </c>
    </row>
    <row r="810">
      <c r="B810" t="inlineStr">
        <is>
          <t>06/15/2025</t>
        </is>
      </c>
      <c r="C810" t="inlineStr">
        <is>
          <t>Expense</t>
        </is>
      </c>
      <c r="D810" t="inlineStr"/>
      <c r="E810" t="inlineStr">
        <is>
          <t>Proseware Payroll</t>
        </is>
      </c>
      <c r="F810" t="inlineStr">
        <is>
          <t>Payroll 2025-06-15 employer taxes</t>
        </is>
      </c>
      <c r="H810" t="inlineStr">
        <is>
          <t>-Split-</t>
        </is>
      </c>
      <c r="I810">
        <f>1625.62</f>
        <v/>
      </c>
      <c r="J810">
        <f>16849.12</f>
        <v/>
      </c>
    </row>
    <row r="811">
      <c r="B811" t="inlineStr">
        <is>
          <t>06/30/2025</t>
        </is>
      </c>
      <c r="C811" t="inlineStr">
        <is>
          <t>Expense</t>
        </is>
      </c>
      <c r="D811" t="inlineStr"/>
      <c r="E811" t="inlineStr">
        <is>
          <t>Proseware Payroll</t>
        </is>
      </c>
      <c r="F811" t="inlineStr">
        <is>
          <t>Payroll 2025-06-30 employer taxes</t>
        </is>
      </c>
      <c r="H811" t="inlineStr">
        <is>
          <t>-Split-</t>
        </is>
      </c>
      <c r="I811">
        <f>1625.62</f>
        <v/>
      </c>
      <c r="J811">
        <f>18474.74</f>
        <v/>
      </c>
    </row>
    <row r="812">
      <c r="B812" t="inlineStr">
        <is>
          <t>07/15/2025</t>
        </is>
      </c>
      <c r="C812" t="inlineStr">
        <is>
          <t>Expense</t>
        </is>
      </c>
      <c r="D812" t="inlineStr"/>
      <c r="E812" t="inlineStr">
        <is>
          <t>Proseware Payroll</t>
        </is>
      </c>
      <c r="F812" t="inlineStr">
        <is>
          <t>Payroll 2025-07-15 employer taxes</t>
        </is>
      </c>
      <c r="H812" t="inlineStr">
        <is>
          <t>-Split-</t>
        </is>
      </c>
      <c r="I812">
        <f>1660.05</f>
        <v/>
      </c>
      <c r="J812">
        <f>20134.79</f>
        <v/>
      </c>
    </row>
    <row r="813">
      <c r="B813" t="inlineStr">
        <is>
          <t>07/31/2025</t>
        </is>
      </c>
      <c r="C813" t="inlineStr">
        <is>
          <t>Expense</t>
        </is>
      </c>
      <c r="D813" t="inlineStr"/>
      <c r="E813" t="inlineStr">
        <is>
          <t>Proseware Payroll</t>
        </is>
      </c>
      <c r="F813" t="inlineStr">
        <is>
          <t>Payroll 2025-07-31 employer taxes</t>
        </is>
      </c>
      <c r="H813" t="inlineStr">
        <is>
          <t>-Split-</t>
        </is>
      </c>
      <c r="I813">
        <f>1660.05</f>
        <v/>
      </c>
      <c r="J813">
        <f>21794.84</f>
        <v/>
      </c>
    </row>
    <row r="814">
      <c r="B814" t="inlineStr">
        <is>
          <t>08/15/2025</t>
        </is>
      </c>
      <c r="C814" t="inlineStr">
        <is>
          <t>Expense</t>
        </is>
      </c>
      <c r="D814" t="inlineStr"/>
      <c r="E814" t="inlineStr">
        <is>
          <t>Proseware Payroll</t>
        </is>
      </c>
      <c r="F814" t="inlineStr">
        <is>
          <t>Payroll 2025-08-15 employer taxes</t>
        </is>
      </c>
      <c r="H814" t="inlineStr">
        <is>
          <t>-Split-</t>
        </is>
      </c>
      <c r="I814">
        <f>1694.48</f>
        <v/>
      </c>
      <c r="J814">
        <f>23489.32</f>
        <v/>
      </c>
    </row>
    <row r="815">
      <c r="B815" t="inlineStr">
        <is>
          <t>08/31/2025</t>
        </is>
      </c>
      <c r="C815" t="inlineStr">
        <is>
          <t>Expense</t>
        </is>
      </c>
      <c r="D815" t="inlineStr"/>
      <c r="E815" t="inlineStr">
        <is>
          <t>Proseware Payroll</t>
        </is>
      </c>
      <c r="F815" t="inlineStr">
        <is>
          <t>Payroll 2025-08-31 employer taxes</t>
        </is>
      </c>
      <c r="H815" t="inlineStr">
        <is>
          <t>-Split-</t>
        </is>
      </c>
      <c r="I815">
        <f>1694.48</f>
        <v/>
      </c>
      <c r="J815">
        <f>25183.80</f>
        <v/>
      </c>
    </row>
    <row r="816">
      <c r="B816" t="inlineStr">
        <is>
          <t>09/15/2025</t>
        </is>
      </c>
      <c r="C816" t="inlineStr">
        <is>
          <t>Expense</t>
        </is>
      </c>
      <c r="D816" t="inlineStr"/>
      <c r="E816" t="inlineStr">
        <is>
          <t>Proseware Payroll</t>
        </is>
      </c>
      <c r="F816" t="inlineStr">
        <is>
          <t>Payroll 2025-09-15 employer taxes</t>
        </is>
      </c>
      <c r="H816" t="inlineStr">
        <is>
          <t>-Split-</t>
        </is>
      </c>
      <c r="I816">
        <f>1728.90</f>
        <v/>
      </c>
      <c r="J816">
        <f>26912.70</f>
        <v/>
      </c>
    </row>
    <row r="817">
      <c r="B817" t="inlineStr">
        <is>
          <t>09/30/2025</t>
        </is>
      </c>
      <c r="C817" t="inlineStr">
        <is>
          <t>Expense</t>
        </is>
      </c>
      <c r="D817" t="inlineStr"/>
      <c r="E817" t="inlineStr">
        <is>
          <t>Proseware Payroll</t>
        </is>
      </c>
      <c r="F817" t="inlineStr">
        <is>
          <t>Payroll 2025-09-30 employer taxes</t>
        </is>
      </c>
      <c r="H817" t="inlineStr">
        <is>
          <t>-Split-</t>
        </is>
      </c>
      <c r="I817">
        <f>1728.90</f>
        <v/>
      </c>
      <c r="J817">
        <f>28641.60</f>
        <v/>
      </c>
    </row>
    <row r="818">
      <c r="B818" t="inlineStr">
        <is>
          <t>10/15/2025</t>
        </is>
      </c>
      <c r="C818" t="inlineStr">
        <is>
          <t>Journal Entry</t>
        </is>
      </c>
      <c r="D818" t="inlineStr">
        <is>
          <t>JE-1037</t>
        </is>
      </c>
      <c r="E818" t="inlineStr">
        <is>
          <t>Proseware Payroll</t>
        </is>
      </c>
      <c r="F818" t="inlineStr">
        <is>
          <t>Payroll 2025-10-15 employer taxes</t>
        </is>
      </c>
      <c r="H818" t="inlineStr">
        <is>
          <t>-Split-</t>
        </is>
      </c>
      <c r="I818">
        <f>1763.32</f>
        <v/>
      </c>
      <c r="J818">
        <f>30404.92</f>
        <v/>
      </c>
    </row>
    <row r="819">
      <c r="B819" t="inlineStr">
        <is>
          <t>10/31/2025</t>
        </is>
      </c>
      <c r="C819" t="inlineStr">
        <is>
          <t>Journal Entry</t>
        </is>
      </c>
      <c r="D819" t="inlineStr">
        <is>
          <t>JE-1038</t>
        </is>
      </c>
      <c r="E819" t="inlineStr">
        <is>
          <t>Proseware Payroll</t>
        </is>
      </c>
      <c r="F819" t="inlineStr">
        <is>
          <t>Payroll 2025-10-31 employer taxes</t>
        </is>
      </c>
      <c r="H819" t="inlineStr">
        <is>
          <t>-Split-</t>
        </is>
      </c>
      <c r="I819">
        <f>1763.32</f>
        <v/>
      </c>
      <c r="J819">
        <f>32168.24</f>
        <v/>
      </c>
    </row>
    <row r="820">
      <c r="B820" t="inlineStr">
        <is>
          <t>11/15/2025</t>
        </is>
      </c>
      <c r="C820" t="inlineStr">
        <is>
          <t>Journal Entry</t>
        </is>
      </c>
      <c r="D820" t="inlineStr">
        <is>
          <t>JE-1042</t>
        </is>
      </c>
      <c r="E820" t="inlineStr">
        <is>
          <t>Proseware Payroll</t>
        </is>
      </c>
      <c r="F820" t="inlineStr">
        <is>
          <t>Payroll 2025-11-15 employer taxes</t>
        </is>
      </c>
      <c r="H820" t="inlineStr">
        <is>
          <t>-Split-</t>
        </is>
      </c>
      <c r="I820">
        <f>1797.75</f>
        <v/>
      </c>
      <c r="J820">
        <f>33965.99</f>
        <v/>
      </c>
    </row>
    <row r="821">
      <c r="B821" t="inlineStr">
        <is>
          <t>11/30/2025</t>
        </is>
      </c>
      <c r="C821" t="inlineStr">
        <is>
          <t>Journal Entry</t>
        </is>
      </c>
      <c r="D821" t="inlineStr">
        <is>
          <t>JE-1043</t>
        </is>
      </c>
      <c r="E821" t="inlineStr">
        <is>
          <t>Proseware Payroll</t>
        </is>
      </c>
      <c r="F821" t="inlineStr">
        <is>
          <t>Payroll 2025-11-30 employer taxes</t>
        </is>
      </c>
      <c r="H821" t="inlineStr">
        <is>
          <t>-Split-</t>
        </is>
      </c>
      <c r="I821">
        <f>1797.75</f>
        <v/>
      </c>
      <c r="J821">
        <f>35763.74</f>
        <v/>
      </c>
    </row>
    <row r="822">
      <c r="B822" t="inlineStr">
        <is>
          <t>12/15/2025</t>
        </is>
      </c>
      <c r="C822" t="inlineStr">
        <is>
          <t>Journal Entry</t>
        </is>
      </c>
      <c r="D822" t="inlineStr">
        <is>
          <t>JE-1047</t>
        </is>
      </c>
      <c r="E822" t="inlineStr">
        <is>
          <t>Proseware Payroll</t>
        </is>
      </c>
      <c r="F822" t="inlineStr">
        <is>
          <t>Payroll 2025-12-15 employer taxes</t>
        </is>
      </c>
      <c r="H822" t="inlineStr">
        <is>
          <t>-Split-</t>
        </is>
      </c>
      <c r="I822">
        <f>1832.18</f>
        <v/>
      </c>
      <c r="J822">
        <f>37595.92</f>
        <v/>
      </c>
    </row>
    <row r="823">
      <c r="B823" t="inlineStr">
        <is>
          <t>12/31/2025</t>
        </is>
      </c>
      <c r="C823" t="inlineStr">
        <is>
          <t>Journal Entry</t>
        </is>
      </c>
      <c r="D823" t="inlineStr">
        <is>
          <t>JE-1048</t>
        </is>
      </c>
      <c r="E823" t="inlineStr">
        <is>
          <t>Proseware Payroll</t>
        </is>
      </c>
      <c r="F823" t="inlineStr">
        <is>
          <t>Payroll 2025-12-31 employer taxes</t>
        </is>
      </c>
      <c r="H823" t="inlineStr">
        <is>
          <t>-Split-</t>
        </is>
      </c>
      <c r="I823">
        <f>1832.18</f>
        <v/>
      </c>
      <c r="J823">
        <f>39428.10</f>
        <v/>
      </c>
    </row>
    <row r="824">
      <c r="A824" t="inlineStr">
        <is>
          <t>Total for 6010 Payroll Taxes</t>
        </is>
      </c>
      <c r="I824">
        <f>39428.10</f>
        <v/>
      </c>
    </row>
    <row r="825"/>
    <row r="826">
      <c r="A826" t="inlineStr">
        <is>
          <t>6100 Contract Engineering</t>
        </is>
      </c>
    </row>
    <row r="827">
      <c r="G827" t="inlineStr">
        <is>
          <t>Beginning Balance</t>
        </is>
      </c>
      <c r="J827">
        <f>0.00</f>
        <v/>
      </c>
    </row>
    <row r="828">
      <c r="B828" t="inlineStr">
        <is>
          <t>01/02/2025</t>
        </is>
      </c>
      <c r="C828" t="inlineStr">
        <is>
          <t>Expense</t>
        </is>
      </c>
      <c r="D828" t="inlineStr"/>
      <c r="E828" t="inlineStr">
        <is>
          <t>Bluepeak Engineering</t>
        </is>
      </c>
      <c r="F828" t="inlineStr">
        <is>
          <t>Bluepeak Engineering invoice 16355</t>
        </is>
      </c>
      <c r="H828" t="inlineStr">
        <is>
          <t>1010 Northgate Checking 7742</t>
        </is>
      </c>
      <c r="I828">
        <f>1721.05</f>
        <v/>
      </c>
      <c r="J828">
        <f>1721.05</f>
        <v/>
      </c>
    </row>
    <row r="829">
      <c r="B829" t="inlineStr">
        <is>
          <t>01/04/2025</t>
        </is>
      </c>
      <c r="C829" t="inlineStr">
        <is>
          <t>Expense</t>
        </is>
      </c>
      <c r="D829" t="inlineStr"/>
      <c r="E829" t="inlineStr">
        <is>
          <t>Quartz CAD Services</t>
        </is>
      </c>
      <c r="F829" t="inlineStr">
        <is>
          <t>Quartz CAD Services invoice 86072</t>
        </is>
      </c>
      <c r="H829" t="inlineStr">
        <is>
          <t>1010 Northgate Checking 7742</t>
        </is>
      </c>
      <c r="I829">
        <f>794.84</f>
        <v/>
      </c>
      <c r="J829">
        <f>2515.89</f>
        <v/>
      </c>
    </row>
    <row r="830">
      <c r="B830" t="inlineStr">
        <is>
          <t>01/11/2025</t>
        </is>
      </c>
      <c r="C830" t="inlineStr">
        <is>
          <t>Expense</t>
        </is>
      </c>
      <c r="D830" t="inlineStr"/>
      <c r="E830" t="inlineStr">
        <is>
          <t>Redwood Prototyping</t>
        </is>
      </c>
      <c r="F830" t="inlineStr">
        <is>
          <t>Redwood Prototyping invoice 32277</t>
        </is>
      </c>
      <c r="H830" t="inlineStr">
        <is>
          <t>1010 Northgate Checking 7742</t>
        </is>
      </c>
      <c r="I830">
        <f>880.56</f>
        <v/>
      </c>
      <c r="J830">
        <f>3396.45</f>
        <v/>
      </c>
    </row>
    <row r="831">
      <c r="B831" t="inlineStr">
        <is>
          <t>01/12/2025</t>
        </is>
      </c>
      <c r="C831" t="inlineStr">
        <is>
          <t>Expense</t>
        </is>
      </c>
      <c r="D831" t="inlineStr"/>
      <c r="E831" t="inlineStr">
        <is>
          <t>Quartz CAD Services</t>
        </is>
      </c>
      <c r="F831" t="inlineStr">
        <is>
          <t>Quartz CAD Services invoice 13255</t>
        </is>
      </c>
      <c r="H831" t="inlineStr">
        <is>
          <t>1010 Northgate Checking 7742</t>
        </is>
      </c>
      <c r="I831">
        <f>241.18</f>
        <v/>
      </c>
      <c r="J831">
        <f>3637.63</f>
        <v/>
      </c>
    </row>
    <row r="832">
      <c r="B832" t="inlineStr">
        <is>
          <t>01/18/2025</t>
        </is>
      </c>
      <c r="C832" t="inlineStr">
        <is>
          <t>Expense</t>
        </is>
      </c>
      <c r="D832" t="inlineStr"/>
      <c r="E832" t="inlineStr">
        <is>
          <t>Trey Research</t>
        </is>
      </c>
      <c r="F832" t="inlineStr">
        <is>
          <t>Trey Research monthly engagement</t>
        </is>
      </c>
      <c r="H832" t="inlineStr">
        <is>
          <t>1010 Northgate Checking 7742</t>
        </is>
      </c>
      <c r="I832">
        <f>3733.92</f>
        <v/>
      </c>
      <c r="J832">
        <f>7371.55</f>
        <v/>
      </c>
    </row>
    <row r="833">
      <c r="B833" t="inlineStr">
        <is>
          <t>01/19/2025</t>
        </is>
      </c>
      <c r="C833" t="inlineStr">
        <is>
          <t>Expense</t>
        </is>
      </c>
      <c r="D833" t="inlineStr"/>
      <c r="E833" t="inlineStr">
        <is>
          <t>Redwood Prototyping</t>
        </is>
      </c>
      <c r="F833" t="inlineStr">
        <is>
          <t>Redwood Prototyping invoice 77466</t>
        </is>
      </c>
      <c r="H833" t="inlineStr">
        <is>
          <t>1010 Northgate Checking 7742</t>
        </is>
      </c>
      <c r="I833">
        <f>1051.47</f>
        <v/>
      </c>
      <c r="J833">
        <f>8423.02</f>
        <v/>
      </c>
    </row>
    <row r="834">
      <c r="B834" t="inlineStr">
        <is>
          <t>01/25/2025</t>
        </is>
      </c>
      <c r="C834" t="inlineStr">
        <is>
          <t>Expense</t>
        </is>
      </c>
      <c r="D834" t="inlineStr"/>
      <c r="E834" t="inlineStr">
        <is>
          <t>Quartz CAD Services</t>
        </is>
      </c>
      <c r="F834" t="inlineStr">
        <is>
          <t>Quartz CAD Services invoice 46783</t>
        </is>
      </c>
      <c r="H834" t="inlineStr">
        <is>
          <t>1010 Northgate Checking 7742</t>
        </is>
      </c>
      <c r="I834">
        <f>210.20</f>
        <v/>
      </c>
      <c r="J834">
        <f>8633.22</f>
        <v/>
      </c>
    </row>
    <row r="835">
      <c r="B835" t="inlineStr">
        <is>
          <t>01/27/2025</t>
        </is>
      </c>
      <c r="C835" t="inlineStr">
        <is>
          <t>Expense</t>
        </is>
      </c>
      <c r="D835" t="inlineStr"/>
      <c r="E835" t="inlineStr">
        <is>
          <t>Quartz CAD Services</t>
        </is>
      </c>
      <c r="F835" t="inlineStr">
        <is>
          <t>Quartz CAD Services invoice 39368</t>
        </is>
      </c>
      <c r="H835" t="inlineStr">
        <is>
          <t>1010 Northgate Checking 7742</t>
        </is>
      </c>
      <c r="I835">
        <f>504.28</f>
        <v/>
      </c>
      <c r="J835">
        <f>9137.50</f>
        <v/>
      </c>
    </row>
    <row r="836">
      <c r="B836" t="inlineStr">
        <is>
          <t>02/05/2025</t>
        </is>
      </c>
      <c r="C836" t="inlineStr">
        <is>
          <t>Expense</t>
        </is>
      </c>
      <c r="D836" t="inlineStr"/>
      <c r="E836" t="inlineStr">
        <is>
          <t>Quartz CAD Services</t>
        </is>
      </c>
      <c r="F836" t="inlineStr">
        <is>
          <t>Quartz CAD Services invoice 92831</t>
        </is>
      </c>
      <c r="H836" t="inlineStr">
        <is>
          <t>1010 Northgate Checking 7742</t>
        </is>
      </c>
      <c r="I836">
        <f>519.57</f>
        <v/>
      </c>
      <c r="J836">
        <f>9657.07</f>
        <v/>
      </c>
    </row>
    <row r="837">
      <c r="B837" t="inlineStr">
        <is>
          <t>02/07/2025</t>
        </is>
      </c>
      <c r="C837" t="inlineStr">
        <is>
          <t>Expense</t>
        </is>
      </c>
      <c r="D837" t="inlineStr"/>
      <c r="E837" t="inlineStr">
        <is>
          <t>Redwood Prototyping</t>
        </is>
      </c>
      <c r="F837" t="inlineStr">
        <is>
          <t>Redwood Prototyping invoice 54165</t>
        </is>
      </c>
      <c r="H837" t="inlineStr">
        <is>
          <t>1010 Northgate Checking 7742</t>
        </is>
      </c>
      <c r="I837">
        <f>778.57</f>
        <v/>
      </c>
      <c r="J837">
        <f>10435.64</f>
        <v/>
      </c>
    </row>
    <row r="838">
      <c r="B838" t="inlineStr">
        <is>
          <t>02/11/2025</t>
        </is>
      </c>
      <c r="C838" t="inlineStr">
        <is>
          <t>Expense</t>
        </is>
      </c>
      <c r="D838" t="inlineStr"/>
      <c r="E838" t="inlineStr">
        <is>
          <t>Bluepeak Engineering</t>
        </is>
      </c>
      <c r="F838" t="inlineStr">
        <is>
          <t>Bluepeak Engineering invoice 93540</t>
        </is>
      </c>
      <c r="H838" t="inlineStr">
        <is>
          <t>1010 Northgate Checking 7742</t>
        </is>
      </c>
      <c r="I838">
        <f>1114.09</f>
        <v/>
      </c>
      <c r="J838">
        <f>11549.73</f>
        <v/>
      </c>
    </row>
    <row r="839">
      <c r="B839" t="inlineStr">
        <is>
          <t>02/12/2025</t>
        </is>
      </c>
      <c r="C839" t="inlineStr">
        <is>
          <t>Expense</t>
        </is>
      </c>
      <c r="D839" t="inlineStr"/>
      <c r="E839" t="inlineStr">
        <is>
          <t>Quartz CAD Services</t>
        </is>
      </c>
      <c r="F839" t="inlineStr">
        <is>
          <t>Quartz CAD Services invoice 48841</t>
        </is>
      </c>
      <c r="H839" t="inlineStr">
        <is>
          <t>1010 Northgate Checking 7742</t>
        </is>
      </c>
      <c r="I839">
        <f>670.57</f>
        <v/>
      </c>
      <c r="J839">
        <f>12220.30</f>
        <v/>
      </c>
    </row>
    <row r="840">
      <c r="B840" t="inlineStr">
        <is>
          <t>02/16/2025</t>
        </is>
      </c>
      <c r="C840" t="inlineStr">
        <is>
          <t>Expense</t>
        </is>
      </c>
      <c r="D840" t="inlineStr"/>
      <c r="E840" t="inlineStr">
        <is>
          <t>Bluepeak Engineering</t>
        </is>
      </c>
      <c r="F840" t="inlineStr">
        <is>
          <t>Bluepeak Engineering invoice 53096</t>
        </is>
      </c>
      <c r="H840" t="inlineStr">
        <is>
          <t>1010 Northgate Checking 7742</t>
        </is>
      </c>
      <c r="I840">
        <f>1074.62</f>
        <v/>
      </c>
      <c r="J840">
        <f>13294.92</f>
        <v/>
      </c>
    </row>
    <row r="841">
      <c r="B841" t="inlineStr">
        <is>
          <t>02/20/2025</t>
        </is>
      </c>
      <c r="C841" t="inlineStr">
        <is>
          <t>Expense</t>
        </is>
      </c>
      <c r="D841" t="inlineStr"/>
      <c r="E841" t="inlineStr">
        <is>
          <t>Bluepeak Engineering</t>
        </is>
      </c>
      <c r="F841" t="inlineStr">
        <is>
          <t>Bluepeak Engineering invoice 22348</t>
        </is>
      </c>
      <c r="H841" t="inlineStr">
        <is>
          <t>1010 Northgate Checking 7742</t>
        </is>
      </c>
      <c r="I841">
        <f>1728.34</f>
        <v/>
      </c>
      <c r="J841">
        <f>15023.26</f>
        <v/>
      </c>
    </row>
    <row r="842">
      <c r="B842" t="inlineStr">
        <is>
          <t>02/23/2025</t>
        </is>
      </c>
      <c r="C842" t="inlineStr">
        <is>
          <t>Expense</t>
        </is>
      </c>
      <c r="D842" t="inlineStr"/>
      <c r="E842" t="inlineStr">
        <is>
          <t>Quartz CAD Services</t>
        </is>
      </c>
      <c r="F842" t="inlineStr">
        <is>
          <t>Quartz CAD Services invoice 55591</t>
        </is>
      </c>
      <c r="H842" t="inlineStr">
        <is>
          <t>1010 Northgate Checking 7742</t>
        </is>
      </c>
      <c r="I842">
        <f>796.86</f>
        <v/>
      </c>
      <c r="J842">
        <f>15820.12</f>
        <v/>
      </c>
    </row>
    <row r="843">
      <c r="B843" t="inlineStr">
        <is>
          <t>02/23/2025</t>
        </is>
      </c>
      <c r="C843" t="inlineStr">
        <is>
          <t>Expense</t>
        </is>
      </c>
      <c r="D843" t="inlineStr"/>
      <c r="E843" t="inlineStr">
        <is>
          <t>Redwood Prototyping</t>
        </is>
      </c>
      <c r="F843" t="inlineStr">
        <is>
          <t>Redwood Prototyping invoice 49188</t>
        </is>
      </c>
      <c r="H843" t="inlineStr">
        <is>
          <t>1010 Northgate Checking 7742</t>
        </is>
      </c>
      <c r="I843">
        <f>1138.69</f>
        <v/>
      </c>
      <c r="J843">
        <f>16958.81</f>
        <v/>
      </c>
    </row>
    <row r="844">
      <c r="B844" t="inlineStr">
        <is>
          <t>03/07/2025</t>
        </is>
      </c>
      <c r="C844" t="inlineStr">
        <is>
          <t>Expense</t>
        </is>
      </c>
      <c r="D844" t="inlineStr"/>
      <c r="E844" t="inlineStr">
        <is>
          <t>Redwood Prototyping</t>
        </is>
      </c>
      <c r="F844" t="inlineStr">
        <is>
          <t>Redwood Prototyping invoice 11386</t>
        </is>
      </c>
      <c r="H844" t="inlineStr">
        <is>
          <t>1010 Northgate Checking 7742</t>
        </is>
      </c>
      <c r="I844">
        <f>346.09</f>
        <v/>
      </c>
      <c r="J844">
        <f>17304.90</f>
        <v/>
      </c>
    </row>
    <row r="845">
      <c r="B845" t="inlineStr">
        <is>
          <t>03/14/2025</t>
        </is>
      </c>
      <c r="C845" t="inlineStr">
        <is>
          <t>Expense</t>
        </is>
      </c>
      <c r="D845" t="inlineStr"/>
      <c r="E845" t="inlineStr">
        <is>
          <t>Bluepeak Engineering</t>
        </is>
      </c>
      <c r="F845" t="inlineStr">
        <is>
          <t>Bluepeak Engineering invoice 90791</t>
        </is>
      </c>
      <c r="H845" t="inlineStr">
        <is>
          <t>1010 Northgate Checking 7742</t>
        </is>
      </c>
      <c r="I845">
        <f>1284.51</f>
        <v/>
      </c>
      <c r="J845">
        <f>18589.41</f>
        <v/>
      </c>
    </row>
    <row r="846">
      <c r="B846" t="inlineStr">
        <is>
          <t>03/14/2025</t>
        </is>
      </c>
      <c r="C846" t="inlineStr">
        <is>
          <t>Expense</t>
        </is>
      </c>
      <c r="D846" t="inlineStr"/>
      <c r="E846" t="inlineStr">
        <is>
          <t>Bluepeak Engineering</t>
        </is>
      </c>
      <c r="F846" t="inlineStr">
        <is>
          <t>Bluepeak Engineering invoice 70440</t>
        </is>
      </c>
      <c r="H846" t="inlineStr">
        <is>
          <t>1010 Northgate Checking 7742</t>
        </is>
      </c>
      <c r="I846">
        <f>1540.18</f>
        <v/>
      </c>
      <c r="J846">
        <f>20129.59</f>
        <v/>
      </c>
    </row>
    <row r="847">
      <c r="B847" t="inlineStr">
        <is>
          <t>03/17/2025</t>
        </is>
      </c>
      <c r="C847" t="inlineStr">
        <is>
          <t>Expense</t>
        </is>
      </c>
      <c r="D847" t="inlineStr"/>
      <c r="E847" t="inlineStr">
        <is>
          <t>Bluepeak Engineering</t>
        </is>
      </c>
      <c r="F847" t="inlineStr">
        <is>
          <t>Bluepeak Engineering invoice 99978</t>
        </is>
      </c>
      <c r="H847" t="inlineStr">
        <is>
          <t>1010 Northgate Checking 7742</t>
        </is>
      </c>
      <c r="I847">
        <f>1693.35</f>
        <v/>
      </c>
      <c r="J847">
        <f>21822.94</f>
        <v/>
      </c>
    </row>
    <row r="848">
      <c r="B848" t="inlineStr">
        <is>
          <t>03/17/2025</t>
        </is>
      </c>
      <c r="C848" t="inlineStr">
        <is>
          <t>Expense</t>
        </is>
      </c>
      <c r="D848" t="inlineStr"/>
      <c r="E848" t="inlineStr">
        <is>
          <t>Bluepeak Engineering</t>
        </is>
      </c>
      <c r="F848" t="inlineStr">
        <is>
          <t>Bluepeak Engineering invoice 63549</t>
        </is>
      </c>
      <c r="H848" t="inlineStr">
        <is>
          <t>1010 Northgate Checking 7742</t>
        </is>
      </c>
      <c r="I848">
        <f>1856.53</f>
        <v/>
      </c>
      <c r="J848">
        <f>23679.47</f>
        <v/>
      </c>
    </row>
    <row r="849">
      <c r="B849" t="inlineStr">
        <is>
          <t>03/17/2025</t>
        </is>
      </c>
      <c r="C849" t="inlineStr">
        <is>
          <t>Expense</t>
        </is>
      </c>
      <c r="D849" t="inlineStr"/>
      <c r="E849" t="inlineStr">
        <is>
          <t>Quartz CAD Services</t>
        </is>
      </c>
      <c r="F849" t="inlineStr">
        <is>
          <t>Quartz CAD Services invoice 45066</t>
        </is>
      </c>
      <c r="H849" t="inlineStr">
        <is>
          <t>1010 Northgate Checking 7742</t>
        </is>
      </c>
      <c r="I849">
        <f>416.46</f>
        <v/>
      </c>
      <c r="J849">
        <f>24095.93</f>
        <v/>
      </c>
    </row>
    <row r="850">
      <c r="B850" t="inlineStr">
        <is>
          <t>03/18/2025</t>
        </is>
      </c>
      <c r="C850" t="inlineStr">
        <is>
          <t>Expense</t>
        </is>
      </c>
      <c r="D850" t="inlineStr"/>
      <c r="E850" t="inlineStr">
        <is>
          <t>Trey Research</t>
        </is>
      </c>
      <c r="F850" t="inlineStr">
        <is>
          <t>Trey Research monthly engagement</t>
        </is>
      </c>
      <c r="H850" t="inlineStr">
        <is>
          <t>1010 Northgate Checking 7742</t>
        </is>
      </c>
      <c r="I850">
        <f>3420.88</f>
        <v/>
      </c>
      <c r="J850">
        <f>27516.81</f>
        <v/>
      </c>
    </row>
    <row r="851">
      <c r="B851" t="inlineStr">
        <is>
          <t>04/04/2025</t>
        </is>
      </c>
      <c r="C851" t="inlineStr">
        <is>
          <t>Expense</t>
        </is>
      </c>
      <c r="D851" t="inlineStr"/>
      <c r="E851" t="inlineStr">
        <is>
          <t>Redwood Prototyping</t>
        </is>
      </c>
      <c r="F851" t="inlineStr">
        <is>
          <t>Redwood Prototyping invoice 89494</t>
        </is>
      </c>
      <c r="H851" t="inlineStr">
        <is>
          <t>1010 Northgate Checking 7742</t>
        </is>
      </c>
      <c r="I851">
        <f>587.81</f>
        <v/>
      </c>
      <c r="J851">
        <f>28104.62</f>
        <v/>
      </c>
    </row>
    <row r="852">
      <c r="B852" t="inlineStr">
        <is>
          <t>04/05/2025</t>
        </is>
      </c>
      <c r="C852" t="inlineStr">
        <is>
          <t>Expense</t>
        </is>
      </c>
      <c r="D852" t="inlineStr"/>
      <c r="E852" t="inlineStr">
        <is>
          <t>Redwood Prototyping</t>
        </is>
      </c>
      <c r="F852" t="inlineStr">
        <is>
          <t>Redwood Prototyping invoice 27132</t>
        </is>
      </c>
      <c r="H852" t="inlineStr">
        <is>
          <t>1010 Northgate Checking 7742</t>
        </is>
      </c>
      <c r="I852">
        <f>251.51</f>
        <v/>
      </c>
      <c r="J852">
        <f>28356.13</f>
        <v/>
      </c>
    </row>
    <row r="853">
      <c r="B853" t="inlineStr">
        <is>
          <t>04/05/2025</t>
        </is>
      </c>
      <c r="C853" t="inlineStr">
        <is>
          <t>Expense</t>
        </is>
      </c>
      <c r="D853" t="inlineStr"/>
      <c r="E853" t="inlineStr">
        <is>
          <t>Redwood Prototyping</t>
        </is>
      </c>
      <c r="F853" t="inlineStr">
        <is>
          <t>Redwood Prototyping invoice 50341</t>
        </is>
      </c>
      <c r="H853" t="inlineStr">
        <is>
          <t>1010 Northgate Checking 7742</t>
        </is>
      </c>
      <c r="I853">
        <f>791.70</f>
        <v/>
      </c>
      <c r="J853">
        <f>29147.83</f>
        <v/>
      </c>
    </row>
    <row r="854">
      <c r="B854" t="inlineStr">
        <is>
          <t>04/11/2025</t>
        </is>
      </c>
      <c r="C854" t="inlineStr">
        <is>
          <t>Expense</t>
        </is>
      </c>
      <c r="D854" t="inlineStr"/>
      <c r="E854" t="inlineStr">
        <is>
          <t>Redwood Prototyping</t>
        </is>
      </c>
      <c r="F854" t="inlineStr">
        <is>
          <t>Redwood Prototyping invoice 57291</t>
        </is>
      </c>
      <c r="H854" t="inlineStr">
        <is>
          <t>1010 Northgate Checking 7742</t>
        </is>
      </c>
      <c r="I854">
        <f>947.59</f>
        <v/>
      </c>
      <c r="J854">
        <f>30095.42</f>
        <v/>
      </c>
    </row>
    <row r="855">
      <c r="B855" t="inlineStr">
        <is>
          <t>04/12/2025</t>
        </is>
      </c>
      <c r="C855" t="inlineStr">
        <is>
          <t>Expense</t>
        </is>
      </c>
      <c r="D855" t="inlineStr"/>
      <c r="E855" t="inlineStr">
        <is>
          <t>Quartz CAD Services</t>
        </is>
      </c>
      <c r="F855" t="inlineStr">
        <is>
          <t>Quartz CAD Services invoice 60808</t>
        </is>
      </c>
      <c r="H855" t="inlineStr">
        <is>
          <t>1010 Northgate Checking 7742</t>
        </is>
      </c>
      <c r="I855">
        <f>510.07</f>
        <v/>
      </c>
      <c r="J855">
        <f>30605.49</f>
        <v/>
      </c>
    </row>
    <row r="856">
      <c r="B856" t="inlineStr">
        <is>
          <t>04/15/2025</t>
        </is>
      </c>
      <c r="C856" t="inlineStr">
        <is>
          <t>Expense</t>
        </is>
      </c>
      <c r="D856" t="inlineStr"/>
      <c r="E856" t="inlineStr">
        <is>
          <t>Quartz CAD Services</t>
        </is>
      </c>
      <c r="F856" t="inlineStr">
        <is>
          <t>Quartz CAD Services invoice 16305</t>
        </is>
      </c>
      <c r="H856" t="inlineStr">
        <is>
          <t>1010 Northgate Checking 7742</t>
        </is>
      </c>
      <c r="I856">
        <f>875.65</f>
        <v/>
      </c>
      <c r="J856">
        <f>31481.14</f>
        <v/>
      </c>
    </row>
    <row r="857">
      <c r="B857" t="inlineStr">
        <is>
          <t>04/15/2025</t>
        </is>
      </c>
      <c r="C857" t="inlineStr">
        <is>
          <t>Expense</t>
        </is>
      </c>
      <c r="D857" t="inlineStr"/>
      <c r="E857" t="inlineStr">
        <is>
          <t>Bluepeak Engineering</t>
        </is>
      </c>
      <c r="F857" t="inlineStr">
        <is>
          <t>Bluepeak Engineering invoice 26194</t>
        </is>
      </c>
      <c r="H857" t="inlineStr">
        <is>
          <t>1010 Northgate Checking 7742</t>
        </is>
      </c>
      <c r="I857">
        <f>1687.14</f>
        <v/>
      </c>
      <c r="J857">
        <f>33168.28</f>
        <v/>
      </c>
    </row>
    <row r="858">
      <c r="B858" t="inlineStr">
        <is>
          <t>04/18/2025</t>
        </is>
      </c>
      <c r="C858" t="inlineStr">
        <is>
          <t>Expense</t>
        </is>
      </c>
      <c r="D858" t="inlineStr"/>
      <c r="E858" t="inlineStr">
        <is>
          <t>Bluepeak Engineering</t>
        </is>
      </c>
      <c r="F858" t="inlineStr">
        <is>
          <t>Bluepeak Engineering invoice 66963</t>
        </is>
      </c>
      <c r="H858" t="inlineStr">
        <is>
          <t>1010 Northgate Checking 7742</t>
        </is>
      </c>
      <c r="I858">
        <f>1356.28</f>
        <v/>
      </c>
      <c r="J858">
        <f>34524.56</f>
        <v/>
      </c>
    </row>
    <row r="859">
      <c r="B859" t="inlineStr">
        <is>
          <t>04/27/2025</t>
        </is>
      </c>
      <c r="C859" t="inlineStr">
        <is>
          <t>Expense</t>
        </is>
      </c>
      <c r="D859" t="inlineStr"/>
      <c r="E859" t="inlineStr">
        <is>
          <t>Quartz CAD Services</t>
        </is>
      </c>
      <c r="F859" t="inlineStr">
        <is>
          <t>Quartz CAD Services invoice 47424</t>
        </is>
      </c>
      <c r="H859" t="inlineStr">
        <is>
          <t>1010 Northgate Checking 7742</t>
        </is>
      </c>
      <c r="I859">
        <f>581.51</f>
        <v/>
      </c>
      <c r="J859">
        <f>35106.07</f>
        <v/>
      </c>
    </row>
    <row r="860">
      <c r="B860" t="inlineStr">
        <is>
          <t>04/27/2025</t>
        </is>
      </c>
      <c r="C860" t="inlineStr">
        <is>
          <t>Expense</t>
        </is>
      </c>
      <c r="D860" t="inlineStr"/>
      <c r="E860" t="inlineStr">
        <is>
          <t>Redwood Prototyping</t>
        </is>
      </c>
      <c r="F860" t="inlineStr">
        <is>
          <t>Redwood Prototyping invoice 44597</t>
        </is>
      </c>
      <c r="H860" t="inlineStr">
        <is>
          <t>1010 Northgate Checking 7742</t>
        </is>
      </c>
      <c r="I860">
        <f>358.05</f>
        <v/>
      </c>
      <c r="J860">
        <f>35464.12</f>
        <v/>
      </c>
    </row>
    <row r="861">
      <c r="B861" t="inlineStr">
        <is>
          <t>05/04/2025</t>
        </is>
      </c>
      <c r="C861" t="inlineStr">
        <is>
          <t>Expense</t>
        </is>
      </c>
      <c r="D861" t="inlineStr"/>
      <c r="E861" t="inlineStr">
        <is>
          <t>Quartz CAD Services</t>
        </is>
      </c>
      <c r="F861" t="inlineStr">
        <is>
          <t>Quartz CAD Services invoice 96978</t>
        </is>
      </c>
      <c r="H861" t="inlineStr">
        <is>
          <t>1010 Northgate Checking 7742</t>
        </is>
      </c>
      <c r="I861">
        <f>181.65</f>
        <v/>
      </c>
      <c r="J861">
        <f>35645.77</f>
        <v/>
      </c>
    </row>
    <row r="862">
      <c r="B862" t="inlineStr">
        <is>
          <t>05/04/2025</t>
        </is>
      </c>
      <c r="C862" t="inlineStr">
        <is>
          <t>Expense</t>
        </is>
      </c>
      <c r="D862" t="inlineStr"/>
      <c r="E862" t="inlineStr">
        <is>
          <t>Bluepeak Engineering</t>
        </is>
      </c>
      <c r="F862" t="inlineStr">
        <is>
          <t>Bluepeak Engineering invoice 21217</t>
        </is>
      </c>
      <c r="H862" t="inlineStr">
        <is>
          <t>1010 Northgate Checking 7742</t>
        </is>
      </c>
      <c r="I862">
        <f>587.00</f>
        <v/>
      </c>
      <c r="J862">
        <f>36232.77</f>
        <v/>
      </c>
    </row>
    <row r="863">
      <c r="B863" t="inlineStr">
        <is>
          <t>05/05/2025</t>
        </is>
      </c>
      <c r="C863" t="inlineStr">
        <is>
          <t>Expense</t>
        </is>
      </c>
      <c r="D863" t="inlineStr"/>
      <c r="E863" t="inlineStr">
        <is>
          <t>Quartz CAD Services</t>
        </is>
      </c>
      <c r="F863" t="inlineStr">
        <is>
          <t>Quartz CAD Services invoice 10294</t>
        </is>
      </c>
      <c r="H863" t="inlineStr">
        <is>
          <t>1010 Northgate Checking 7742</t>
        </is>
      </c>
      <c r="I863">
        <f>754.69</f>
        <v/>
      </c>
      <c r="J863">
        <f>36987.46</f>
        <v/>
      </c>
    </row>
    <row r="864">
      <c r="B864" t="inlineStr">
        <is>
          <t>05/05/2025</t>
        </is>
      </c>
      <c r="C864" t="inlineStr">
        <is>
          <t>Expense</t>
        </is>
      </c>
      <c r="D864" t="inlineStr"/>
      <c r="E864" t="inlineStr">
        <is>
          <t>Quartz CAD Services</t>
        </is>
      </c>
      <c r="F864" t="inlineStr">
        <is>
          <t>Quartz CAD Services invoice 11550</t>
        </is>
      </c>
      <c r="H864" t="inlineStr">
        <is>
          <t>1010 Northgate Checking 7742</t>
        </is>
      </c>
      <c r="I864">
        <f>771.03</f>
        <v/>
      </c>
      <c r="J864">
        <f>37758.49</f>
        <v/>
      </c>
    </row>
    <row r="865">
      <c r="B865" t="inlineStr">
        <is>
          <t>05/07/2025</t>
        </is>
      </c>
      <c r="C865" t="inlineStr">
        <is>
          <t>Expense</t>
        </is>
      </c>
      <c r="D865" t="inlineStr"/>
      <c r="E865" t="inlineStr">
        <is>
          <t>Redwood Prototyping</t>
        </is>
      </c>
      <c r="F865" t="inlineStr">
        <is>
          <t>Redwood Prototyping invoice 97400</t>
        </is>
      </c>
      <c r="H865" t="inlineStr">
        <is>
          <t>1010 Northgate Checking 7742</t>
        </is>
      </c>
      <c r="I865">
        <f>1094.90</f>
        <v/>
      </c>
      <c r="J865">
        <f>38853.39</f>
        <v/>
      </c>
    </row>
    <row r="866">
      <c r="B866" t="inlineStr">
        <is>
          <t>05/12/2025</t>
        </is>
      </c>
      <c r="C866" t="inlineStr">
        <is>
          <t>Expense</t>
        </is>
      </c>
      <c r="D866" t="inlineStr"/>
      <c r="E866" t="inlineStr">
        <is>
          <t>Quartz CAD Services</t>
        </is>
      </c>
      <c r="F866" t="inlineStr">
        <is>
          <t>Quartz CAD Services invoice 49132</t>
        </is>
      </c>
      <c r="H866" t="inlineStr">
        <is>
          <t>1010 Northgate Checking 7742</t>
        </is>
      </c>
      <c r="I866">
        <f>314.47</f>
        <v/>
      </c>
      <c r="J866">
        <f>39167.86</f>
        <v/>
      </c>
    </row>
    <row r="867">
      <c r="B867" t="inlineStr">
        <is>
          <t>05/15/2025</t>
        </is>
      </c>
      <c r="C867" t="inlineStr">
        <is>
          <t>Expense</t>
        </is>
      </c>
      <c r="D867" t="inlineStr"/>
      <c r="E867" t="inlineStr">
        <is>
          <t>Bluepeak Engineering</t>
        </is>
      </c>
      <c r="F867" t="inlineStr">
        <is>
          <t>Bluepeak Engineering invoice 84438</t>
        </is>
      </c>
      <c r="H867" t="inlineStr">
        <is>
          <t>1010 Northgate Checking 7742</t>
        </is>
      </c>
      <c r="I867">
        <f>1114.06</f>
        <v/>
      </c>
      <c r="J867">
        <f>40281.92</f>
        <v/>
      </c>
    </row>
    <row r="868">
      <c r="B868" t="inlineStr">
        <is>
          <t>05/15/2025</t>
        </is>
      </c>
      <c r="C868" t="inlineStr">
        <is>
          <t>Expense</t>
        </is>
      </c>
      <c r="D868" t="inlineStr"/>
      <c r="E868" t="inlineStr">
        <is>
          <t>Quartz CAD Services</t>
        </is>
      </c>
      <c r="F868" t="inlineStr">
        <is>
          <t>Quartz CAD Services invoice 83316</t>
        </is>
      </c>
      <c r="H868" t="inlineStr">
        <is>
          <t>1010 Northgate Checking 7742</t>
        </is>
      </c>
      <c r="I868">
        <f>410.85</f>
        <v/>
      </c>
      <c r="J868">
        <f>40692.77</f>
        <v/>
      </c>
    </row>
    <row r="869">
      <c r="B869" t="inlineStr">
        <is>
          <t>05/20/2025</t>
        </is>
      </c>
      <c r="C869" t="inlineStr">
        <is>
          <t>Expense</t>
        </is>
      </c>
      <c r="D869" t="inlineStr"/>
      <c r="E869" t="inlineStr">
        <is>
          <t>Bluepeak Engineering</t>
        </is>
      </c>
      <c r="F869" t="inlineStr">
        <is>
          <t>Bluepeak Engineering invoice 70786</t>
        </is>
      </c>
      <c r="H869" t="inlineStr">
        <is>
          <t>1010 Northgate Checking 7742</t>
        </is>
      </c>
      <c r="I869">
        <f>1652.93</f>
        <v/>
      </c>
      <c r="J869">
        <f>42345.70</f>
        <v/>
      </c>
    </row>
    <row r="870">
      <c r="B870" t="inlineStr">
        <is>
          <t>05/22/2025</t>
        </is>
      </c>
      <c r="C870" t="inlineStr">
        <is>
          <t>Expense</t>
        </is>
      </c>
      <c r="D870" t="inlineStr"/>
      <c r="E870" t="inlineStr">
        <is>
          <t>Quartz CAD Services</t>
        </is>
      </c>
      <c r="F870" t="inlineStr">
        <is>
          <t>Quartz CAD Services invoice 22319</t>
        </is>
      </c>
      <c r="H870" t="inlineStr">
        <is>
          <t>1010 Northgate Checking 7742</t>
        </is>
      </c>
      <c r="I870">
        <f>667.16</f>
        <v/>
      </c>
      <c r="J870">
        <f>43012.86</f>
        <v/>
      </c>
    </row>
    <row r="871">
      <c r="B871" t="inlineStr">
        <is>
          <t>05/22/2025</t>
        </is>
      </c>
      <c r="C871" t="inlineStr">
        <is>
          <t>Expense</t>
        </is>
      </c>
      <c r="D871" t="inlineStr"/>
      <c r="E871" t="inlineStr">
        <is>
          <t>Quartz CAD Services</t>
        </is>
      </c>
      <c r="F871" t="inlineStr">
        <is>
          <t>Quartz CAD Services invoice 78035</t>
        </is>
      </c>
      <c r="H871" t="inlineStr">
        <is>
          <t>1010 Northgate Checking 7742</t>
        </is>
      </c>
      <c r="I871">
        <f>481.41</f>
        <v/>
      </c>
      <c r="J871">
        <f>43494.27</f>
        <v/>
      </c>
    </row>
    <row r="872">
      <c r="B872" t="inlineStr">
        <is>
          <t>05/26/2025</t>
        </is>
      </c>
      <c r="C872" t="inlineStr">
        <is>
          <t>Expense</t>
        </is>
      </c>
      <c r="D872" t="inlineStr"/>
      <c r="E872" t="inlineStr">
        <is>
          <t>Trey Research</t>
        </is>
      </c>
      <c r="F872" t="inlineStr">
        <is>
          <t>Trey Research monthly engagement</t>
        </is>
      </c>
      <c r="H872" t="inlineStr">
        <is>
          <t>1010 Northgate Checking 7742</t>
        </is>
      </c>
      <c r="I872">
        <f>5601.22</f>
        <v/>
      </c>
      <c r="J872">
        <f>49095.49</f>
        <v/>
      </c>
    </row>
    <row r="873">
      <c r="B873" t="inlineStr">
        <is>
          <t>05/27/2025</t>
        </is>
      </c>
      <c r="C873" t="inlineStr">
        <is>
          <t>Expense</t>
        </is>
      </c>
      <c r="D873" t="inlineStr"/>
      <c r="E873" t="inlineStr">
        <is>
          <t>Bluepeak Engineering</t>
        </is>
      </c>
      <c r="F873" t="inlineStr">
        <is>
          <t>Bluepeak Engineering invoice 32903</t>
        </is>
      </c>
      <c r="H873" t="inlineStr">
        <is>
          <t>1010 Northgate Checking 7742</t>
        </is>
      </c>
      <c r="I873">
        <f>772.18</f>
        <v/>
      </c>
      <c r="J873">
        <f>49867.67</f>
        <v/>
      </c>
    </row>
    <row r="874">
      <c r="B874" t="inlineStr">
        <is>
          <t>06/02/2025</t>
        </is>
      </c>
      <c r="C874" t="inlineStr">
        <is>
          <t>Expense</t>
        </is>
      </c>
      <c r="D874" t="inlineStr"/>
      <c r="E874" t="inlineStr">
        <is>
          <t>Redwood Prototyping</t>
        </is>
      </c>
      <c r="F874" t="inlineStr">
        <is>
          <t>Redwood Prototyping invoice 46757</t>
        </is>
      </c>
      <c r="H874" t="inlineStr">
        <is>
          <t>1010 Northgate Checking 7742</t>
        </is>
      </c>
      <c r="I874">
        <f>784.94</f>
        <v/>
      </c>
      <c r="J874">
        <f>50652.61</f>
        <v/>
      </c>
    </row>
    <row r="875">
      <c r="B875" t="inlineStr">
        <is>
          <t>06/03/2025</t>
        </is>
      </c>
      <c r="C875" t="inlineStr">
        <is>
          <t>Expense</t>
        </is>
      </c>
      <c r="D875" t="inlineStr"/>
      <c r="E875" t="inlineStr">
        <is>
          <t>Redwood Prototyping</t>
        </is>
      </c>
      <c r="F875" t="inlineStr">
        <is>
          <t>Redwood Prototyping invoice 95228</t>
        </is>
      </c>
      <c r="H875" t="inlineStr">
        <is>
          <t>1010 Northgate Checking 7742</t>
        </is>
      </c>
      <c r="I875">
        <f>997.43</f>
        <v/>
      </c>
      <c r="J875">
        <f>51650.04</f>
        <v/>
      </c>
    </row>
    <row r="876">
      <c r="B876" t="inlineStr">
        <is>
          <t>06/05/2025</t>
        </is>
      </c>
      <c r="C876" t="inlineStr">
        <is>
          <t>Expense</t>
        </is>
      </c>
      <c r="D876" t="inlineStr"/>
      <c r="E876" t="inlineStr">
        <is>
          <t>Bluepeak Engineering</t>
        </is>
      </c>
      <c r="F876" t="inlineStr">
        <is>
          <t>Bluepeak Engineering invoice 96678</t>
        </is>
      </c>
      <c r="H876" t="inlineStr">
        <is>
          <t>1010 Northgate Checking 7742</t>
        </is>
      </c>
      <c r="I876">
        <f>724.91</f>
        <v/>
      </c>
      <c r="J876">
        <f>52374.95</f>
        <v/>
      </c>
    </row>
    <row r="877">
      <c r="B877" t="inlineStr">
        <is>
          <t>06/05/2025</t>
        </is>
      </c>
      <c r="C877" t="inlineStr">
        <is>
          <t>Expense</t>
        </is>
      </c>
      <c r="D877" t="inlineStr"/>
      <c r="E877" t="inlineStr">
        <is>
          <t>Quartz CAD Services</t>
        </is>
      </c>
      <c r="F877" t="inlineStr">
        <is>
          <t>Quartz CAD Services invoice 18855</t>
        </is>
      </c>
      <c r="H877" t="inlineStr">
        <is>
          <t>1010 Northgate Checking 7742</t>
        </is>
      </c>
      <c r="I877">
        <f>506.56</f>
        <v/>
      </c>
      <c r="J877">
        <f>52881.51</f>
        <v/>
      </c>
    </row>
    <row r="878">
      <c r="B878" t="inlineStr">
        <is>
          <t>06/07/2025</t>
        </is>
      </c>
      <c r="C878" t="inlineStr">
        <is>
          <t>Expense</t>
        </is>
      </c>
      <c r="D878" t="inlineStr"/>
      <c r="E878" t="inlineStr">
        <is>
          <t>Quartz CAD Services</t>
        </is>
      </c>
      <c r="F878" t="inlineStr">
        <is>
          <t>Quartz CAD Services invoice 20889</t>
        </is>
      </c>
      <c r="H878" t="inlineStr">
        <is>
          <t>1010 Northgate Checking 7742</t>
        </is>
      </c>
      <c r="I878">
        <f>238.53</f>
        <v/>
      </c>
      <c r="J878">
        <f>53120.04</f>
        <v/>
      </c>
    </row>
    <row r="879">
      <c r="B879" t="inlineStr">
        <is>
          <t>06/08/2025</t>
        </is>
      </c>
      <c r="C879" t="inlineStr">
        <is>
          <t>Expense</t>
        </is>
      </c>
      <c r="D879" t="inlineStr"/>
      <c r="E879" t="inlineStr">
        <is>
          <t>Quartz CAD Services</t>
        </is>
      </c>
      <c r="F879" t="inlineStr">
        <is>
          <t>Quartz CAD Services invoice 17452</t>
        </is>
      </c>
      <c r="H879" t="inlineStr">
        <is>
          <t>1010 Northgate Checking 7742</t>
        </is>
      </c>
      <c r="I879">
        <f>205.00</f>
        <v/>
      </c>
      <c r="J879">
        <f>53325.04</f>
        <v/>
      </c>
    </row>
    <row r="880">
      <c r="B880" t="inlineStr">
        <is>
          <t>06/09/2025</t>
        </is>
      </c>
      <c r="C880" t="inlineStr">
        <is>
          <t>Expense</t>
        </is>
      </c>
      <c r="D880" t="inlineStr"/>
      <c r="E880" t="inlineStr">
        <is>
          <t>Redwood Prototyping</t>
        </is>
      </c>
      <c r="F880" t="inlineStr">
        <is>
          <t>Redwood Prototyping invoice 76827</t>
        </is>
      </c>
      <c r="H880" t="inlineStr">
        <is>
          <t>1010 Northgate Checking 7742</t>
        </is>
      </c>
      <c r="I880">
        <f>388.17</f>
        <v/>
      </c>
      <c r="J880">
        <f>53713.21</f>
        <v/>
      </c>
    </row>
    <row r="881">
      <c r="B881" t="inlineStr">
        <is>
          <t>06/09/2025</t>
        </is>
      </c>
      <c r="C881" t="inlineStr">
        <is>
          <t>Expense</t>
        </is>
      </c>
      <c r="D881" t="inlineStr"/>
      <c r="E881" t="inlineStr">
        <is>
          <t>Bluepeak Engineering</t>
        </is>
      </c>
      <c r="F881" t="inlineStr">
        <is>
          <t>Bluepeak Engineering invoice 70157</t>
        </is>
      </c>
      <c r="H881" t="inlineStr">
        <is>
          <t>1010 Northgate Checking 7742</t>
        </is>
      </c>
      <c r="I881">
        <f>1844.24</f>
        <v/>
      </c>
      <c r="J881">
        <f>55557.45</f>
        <v/>
      </c>
    </row>
    <row r="882">
      <c r="B882" t="inlineStr">
        <is>
          <t>06/15/2025</t>
        </is>
      </c>
      <c r="C882" t="inlineStr">
        <is>
          <t>Expense</t>
        </is>
      </c>
      <c r="D882" t="inlineStr"/>
      <c r="E882" t="inlineStr">
        <is>
          <t>Redwood Prototyping</t>
        </is>
      </c>
      <c r="F882" t="inlineStr">
        <is>
          <t>Redwood Prototyping invoice 17810</t>
        </is>
      </c>
      <c r="H882" t="inlineStr">
        <is>
          <t>1010 Northgate Checking 7742</t>
        </is>
      </c>
      <c r="I882">
        <f>1141.88</f>
        <v/>
      </c>
      <c r="J882">
        <f>56699.33</f>
        <v/>
      </c>
    </row>
    <row r="883">
      <c r="B883" t="inlineStr">
        <is>
          <t>06/16/2025</t>
        </is>
      </c>
      <c r="C883" t="inlineStr">
        <is>
          <t>Expense</t>
        </is>
      </c>
      <c r="D883" t="inlineStr"/>
      <c r="E883" t="inlineStr">
        <is>
          <t>Bluepeak Engineering</t>
        </is>
      </c>
      <c r="F883" t="inlineStr">
        <is>
          <t>Bluepeak Engineering invoice 20213</t>
        </is>
      </c>
      <c r="H883" t="inlineStr">
        <is>
          <t>1010 Northgate Checking 7742</t>
        </is>
      </c>
      <c r="I883">
        <f>1680.32</f>
        <v/>
      </c>
      <c r="J883">
        <f>58379.65</f>
        <v/>
      </c>
    </row>
    <row r="884">
      <c r="B884" t="inlineStr">
        <is>
          <t>06/19/2025</t>
        </is>
      </c>
      <c r="C884" t="inlineStr">
        <is>
          <t>Expense</t>
        </is>
      </c>
      <c r="D884" t="inlineStr"/>
      <c r="E884" t="inlineStr">
        <is>
          <t>Bluepeak Engineering</t>
        </is>
      </c>
      <c r="F884" t="inlineStr">
        <is>
          <t>Bluepeak Engineering invoice 79608</t>
        </is>
      </c>
      <c r="H884" t="inlineStr">
        <is>
          <t>1010 Northgate Checking 7742</t>
        </is>
      </c>
      <c r="I884">
        <f>1167.96</f>
        <v/>
      </c>
      <c r="J884">
        <f>59547.61</f>
        <v/>
      </c>
    </row>
    <row r="885">
      <c r="B885" t="inlineStr">
        <is>
          <t>06/19/2025</t>
        </is>
      </c>
      <c r="C885" t="inlineStr">
        <is>
          <t>Expense</t>
        </is>
      </c>
      <c r="D885" t="inlineStr"/>
      <c r="E885" t="inlineStr">
        <is>
          <t>Redwood Prototyping</t>
        </is>
      </c>
      <c r="F885" t="inlineStr">
        <is>
          <t>Redwood Prototyping invoice 54020</t>
        </is>
      </c>
      <c r="H885" t="inlineStr">
        <is>
          <t>1010 Northgate Checking 7742</t>
        </is>
      </c>
      <c r="I885">
        <f>1259.01</f>
        <v/>
      </c>
      <c r="J885">
        <f>60806.62</f>
        <v/>
      </c>
    </row>
    <row r="886">
      <c r="B886" t="inlineStr">
        <is>
          <t>06/20/2025</t>
        </is>
      </c>
      <c r="C886" t="inlineStr">
        <is>
          <t>Expense</t>
        </is>
      </c>
      <c r="D886" t="inlineStr"/>
      <c r="E886" t="inlineStr">
        <is>
          <t>Quartz CAD Services</t>
        </is>
      </c>
      <c r="F886" t="inlineStr">
        <is>
          <t>Quartz CAD Services invoice 19399</t>
        </is>
      </c>
      <c r="H886" t="inlineStr">
        <is>
          <t>1010 Northgate Checking 7742</t>
        </is>
      </c>
      <c r="I886">
        <f>413.03</f>
        <v/>
      </c>
      <c r="J886">
        <f>61219.65</f>
        <v/>
      </c>
    </row>
    <row r="887">
      <c r="B887" t="inlineStr">
        <is>
          <t>06/22/2025</t>
        </is>
      </c>
      <c r="C887" t="inlineStr">
        <is>
          <t>Expense</t>
        </is>
      </c>
      <c r="D887" t="inlineStr"/>
      <c r="E887" t="inlineStr">
        <is>
          <t>Redwood Prototyping</t>
        </is>
      </c>
      <c r="F887" t="inlineStr">
        <is>
          <t>Redwood Prototyping invoice 49493</t>
        </is>
      </c>
      <c r="H887" t="inlineStr">
        <is>
          <t>1010 Northgate Checking 7742</t>
        </is>
      </c>
      <c r="I887">
        <f>681.45</f>
        <v/>
      </c>
      <c r="J887">
        <f>61901.10</f>
        <v/>
      </c>
    </row>
    <row r="888">
      <c r="B888" t="inlineStr">
        <is>
          <t>07/04/2025</t>
        </is>
      </c>
      <c r="C888" t="inlineStr">
        <is>
          <t>Expense</t>
        </is>
      </c>
      <c r="D888" t="inlineStr"/>
      <c r="E888" t="inlineStr">
        <is>
          <t>Redwood Prototyping</t>
        </is>
      </c>
      <c r="F888" t="inlineStr">
        <is>
          <t>Redwood Prototyping invoice 87916</t>
        </is>
      </c>
      <c r="H888" t="inlineStr">
        <is>
          <t>1010 Northgate Checking 7742</t>
        </is>
      </c>
      <c r="I888">
        <f>384.76</f>
        <v/>
      </c>
      <c r="J888">
        <f>62285.86</f>
        <v/>
      </c>
    </row>
    <row r="889">
      <c r="B889" t="inlineStr">
        <is>
          <t>07/05/2025</t>
        </is>
      </c>
      <c r="C889" t="inlineStr">
        <is>
          <t>Expense</t>
        </is>
      </c>
      <c r="D889" t="inlineStr"/>
      <c r="E889" t="inlineStr">
        <is>
          <t>Bluepeak Engineering</t>
        </is>
      </c>
      <c r="F889" t="inlineStr">
        <is>
          <t>Bluepeak Engineering invoice 53296</t>
        </is>
      </c>
      <c r="H889" t="inlineStr">
        <is>
          <t>1010 Northgate Checking 7742</t>
        </is>
      </c>
      <c r="I889">
        <f>1627.10</f>
        <v/>
      </c>
      <c r="J889">
        <f>63912.96</f>
        <v/>
      </c>
    </row>
    <row r="890">
      <c r="B890" t="inlineStr">
        <is>
          <t>07/06/2025</t>
        </is>
      </c>
      <c r="C890" t="inlineStr">
        <is>
          <t>Expense</t>
        </is>
      </c>
      <c r="D890" t="inlineStr"/>
      <c r="E890" t="inlineStr">
        <is>
          <t>Redwood Prototyping</t>
        </is>
      </c>
      <c r="F890" t="inlineStr">
        <is>
          <t>Redwood Prototyping invoice 33964</t>
        </is>
      </c>
      <c r="H890" t="inlineStr">
        <is>
          <t>1010 Northgate Checking 7742</t>
        </is>
      </c>
      <c r="I890">
        <f>938.89</f>
        <v/>
      </c>
      <c r="J890">
        <f>64851.85</f>
        <v/>
      </c>
    </row>
    <row r="891">
      <c r="B891" t="inlineStr">
        <is>
          <t>07/08/2025</t>
        </is>
      </c>
      <c r="C891" t="inlineStr">
        <is>
          <t>Expense</t>
        </is>
      </c>
      <c r="D891" t="inlineStr"/>
      <c r="E891" t="inlineStr">
        <is>
          <t>Redwood Prototyping</t>
        </is>
      </c>
      <c r="F891" t="inlineStr">
        <is>
          <t>Redwood Prototyping invoice 96889</t>
        </is>
      </c>
      <c r="H891" t="inlineStr">
        <is>
          <t>1010 Northgate Checking 7742</t>
        </is>
      </c>
      <c r="I891">
        <f>403.86</f>
        <v/>
      </c>
      <c r="J891">
        <f>65255.71</f>
        <v/>
      </c>
    </row>
    <row r="892">
      <c r="B892" t="inlineStr">
        <is>
          <t>07/12/2025</t>
        </is>
      </c>
      <c r="C892" t="inlineStr">
        <is>
          <t>Expense</t>
        </is>
      </c>
      <c r="D892" t="inlineStr"/>
      <c r="E892" t="inlineStr">
        <is>
          <t>Bluepeak Engineering</t>
        </is>
      </c>
      <c r="F892" t="inlineStr">
        <is>
          <t>Bluepeak Engineering invoice 52711</t>
        </is>
      </c>
      <c r="H892" t="inlineStr">
        <is>
          <t>1010 Northgate Checking 7742</t>
        </is>
      </c>
      <c r="I892">
        <f>1089.22</f>
        <v/>
      </c>
      <c r="J892">
        <f>66344.93</f>
        <v/>
      </c>
    </row>
    <row r="893">
      <c r="B893" t="inlineStr">
        <is>
          <t>07/15/2025</t>
        </is>
      </c>
      <c r="C893" t="inlineStr">
        <is>
          <t>Expense</t>
        </is>
      </c>
      <c r="D893" t="inlineStr"/>
      <c r="E893" t="inlineStr">
        <is>
          <t>Bluepeak Engineering</t>
        </is>
      </c>
      <c r="F893" t="inlineStr">
        <is>
          <t>Bluepeak Engineering invoice 68953</t>
        </is>
      </c>
      <c r="H893" t="inlineStr">
        <is>
          <t>1010 Northgate Checking 7742</t>
        </is>
      </c>
      <c r="I893">
        <f>1211.82</f>
        <v/>
      </c>
      <c r="J893">
        <f>67556.75</f>
        <v/>
      </c>
    </row>
    <row r="894">
      <c r="B894" t="inlineStr">
        <is>
          <t>07/15/2025</t>
        </is>
      </c>
      <c r="C894" t="inlineStr">
        <is>
          <t>Expense</t>
        </is>
      </c>
      <c r="D894" t="inlineStr"/>
      <c r="E894" t="inlineStr">
        <is>
          <t>Bluepeak Engineering</t>
        </is>
      </c>
      <c r="F894" t="inlineStr">
        <is>
          <t>Bluepeak Engineering invoice 26007</t>
        </is>
      </c>
      <c r="H894" t="inlineStr">
        <is>
          <t>1010 Northgate Checking 7742</t>
        </is>
      </c>
      <c r="I894">
        <f>1636.48</f>
        <v/>
      </c>
      <c r="J894">
        <f>69193.23</f>
        <v/>
      </c>
    </row>
    <row r="895">
      <c r="B895" t="inlineStr">
        <is>
          <t>07/17/2025</t>
        </is>
      </c>
      <c r="C895" t="inlineStr">
        <is>
          <t>Expense</t>
        </is>
      </c>
      <c r="D895" t="inlineStr"/>
      <c r="E895" t="inlineStr">
        <is>
          <t>Quartz CAD Services</t>
        </is>
      </c>
      <c r="F895" t="inlineStr">
        <is>
          <t>Quartz CAD Services invoice 88789</t>
        </is>
      </c>
      <c r="H895" t="inlineStr">
        <is>
          <t>1010 Northgate Checking 7742</t>
        </is>
      </c>
      <c r="I895">
        <f>433.71</f>
        <v/>
      </c>
      <c r="J895">
        <f>69626.94</f>
        <v/>
      </c>
    </row>
    <row r="896">
      <c r="B896" t="inlineStr">
        <is>
          <t>07/20/2025</t>
        </is>
      </c>
      <c r="C896" t="inlineStr">
        <is>
          <t>Expense</t>
        </is>
      </c>
      <c r="D896" t="inlineStr"/>
      <c r="E896" t="inlineStr">
        <is>
          <t>Redwood Prototyping</t>
        </is>
      </c>
      <c r="F896" t="inlineStr">
        <is>
          <t>Redwood Prototyping invoice 19546</t>
        </is>
      </c>
      <c r="H896" t="inlineStr">
        <is>
          <t>1010 Northgate Checking 7742</t>
        </is>
      </c>
      <c r="I896">
        <f>779.28</f>
        <v/>
      </c>
      <c r="J896">
        <f>70406.22</f>
        <v/>
      </c>
    </row>
    <row r="897">
      <c r="B897" t="inlineStr">
        <is>
          <t>07/22/2025</t>
        </is>
      </c>
      <c r="C897" t="inlineStr">
        <is>
          <t>Expense</t>
        </is>
      </c>
      <c r="D897" t="inlineStr"/>
      <c r="E897" t="inlineStr">
        <is>
          <t>Bluepeak Engineering</t>
        </is>
      </c>
      <c r="F897" t="inlineStr">
        <is>
          <t>Bluepeak Engineering invoice 61186</t>
        </is>
      </c>
      <c r="H897" t="inlineStr">
        <is>
          <t>1010 Northgate Checking 7742</t>
        </is>
      </c>
      <c r="I897">
        <f>486.07</f>
        <v/>
      </c>
      <c r="J897">
        <f>70892.29</f>
        <v/>
      </c>
    </row>
    <row r="898">
      <c r="B898" t="inlineStr">
        <is>
          <t>07/25/2025</t>
        </is>
      </c>
      <c r="C898" t="inlineStr">
        <is>
          <t>Expense</t>
        </is>
      </c>
      <c r="D898" t="inlineStr"/>
      <c r="E898" t="inlineStr">
        <is>
          <t>Bluepeak Engineering</t>
        </is>
      </c>
      <c r="F898" t="inlineStr">
        <is>
          <t>Bluepeak Engineering invoice 36631</t>
        </is>
      </c>
      <c r="H898" t="inlineStr">
        <is>
          <t>1010 Northgate Checking 7742</t>
        </is>
      </c>
      <c r="I898">
        <f>1793.97</f>
        <v/>
      </c>
      <c r="J898">
        <f>72686.26</f>
        <v/>
      </c>
    </row>
    <row r="899">
      <c r="B899" t="inlineStr">
        <is>
          <t>07/26/2025</t>
        </is>
      </c>
      <c r="C899" t="inlineStr">
        <is>
          <t>Expense</t>
        </is>
      </c>
      <c r="D899" t="inlineStr"/>
      <c r="E899" t="inlineStr">
        <is>
          <t>Quartz CAD Services</t>
        </is>
      </c>
      <c r="F899" t="inlineStr">
        <is>
          <t>Quartz CAD Services invoice 67026</t>
        </is>
      </c>
      <c r="H899" t="inlineStr">
        <is>
          <t>1010 Northgate Checking 7742</t>
        </is>
      </c>
      <c r="I899">
        <f>643.06</f>
        <v/>
      </c>
      <c r="J899">
        <f>73329.32</f>
        <v/>
      </c>
    </row>
    <row r="900">
      <c r="B900" t="inlineStr">
        <is>
          <t>08/02/2025</t>
        </is>
      </c>
      <c r="C900" t="inlineStr">
        <is>
          <t>Expense</t>
        </is>
      </c>
      <c r="D900" t="inlineStr"/>
      <c r="E900" t="inlineStr">
        <is>
          <t>Quartz CAD Services</t>
        </is>
      </c>
      <c r="F900" t="inlineStr">
        <is>
          <t>Quartz CAD Services invoice 12081</t>
        </is>
      </c>
      <c r="H900" t="inlineStr">
        <is>
          <t>1010 Northgate Checking 7742</t>
        </is>
      </c>
      <c r="I900">
        <f>190.88</f>
        <v/>
      </c>
      <c r="J900">
        <f>73520.20</f>
        <v/>
      </c>
    </row>
    <row r="901">
      <c r="B901" t="inlineStr">
        <is>
          <t>08/02/2025</t>
        </is>
      </c>
      <c r="C901" t="inlineStr">
        <is>
          <t>Expense</t>
        </is>
      </c>
      <c r="D901" t="inlineStr"/>
      <c r="E901" t="inlineStr">
        <is>
          <t>Bluepeak Engineering</t>
        </is>
      </c>
      <c r="F901" t="inlineStr">
        <is>
          <t>Bluepeak Engineering invoice 56382</t>
        </is>
      </c>
      <c r="H901" t="inlineStr">
        <is>
          <t>1010 Northgate Checking 7742</t>
        </is>
      </c>
      <c r="I901">
        <f>1093.11</f>
        <v/>
      </c>
      <c r="J901">
        <f>74613.31</f>
        <v/>
      </c>
    </row>
    <row r="902">
      <c r="B902" t="inlineStr">
        <is>
          <t>08/04/2025</t>
        </is>
      </c>
      <c r="C902" t="inlineStr">
        <is>
          <t>Expense</t>
        </is>
      </c>
      <c r="D902" t="inlineStr"/>
      <c r="E902" t="inlineStr">
        <is>
          <t>Quartz CAD Services</t>
        </is>
      </c>
      <c r="F902" t="inlineStr">
        <is>
          <t>Quartz CAD Services invoice 67740</t>
        </is>
      </c>
      <c r="H902" t="inlineStr">
        <is>
          <t>1010 Northgate Checking 7742</t>
        </is>
      </c>
      <c r="I902">
        <f>808.40</f>
        <v/>
      </c>
      <c r="J902">
        <f>75421.71</f>
        <v/>
      </c>
    </row>
    <row r="903">
      <c r="B903" t="inlineStr">
        <is>
          <t>08/10/2025</t>
        </is>
      </c>
      <c r="C903" t="inlineStr">
        <is>
          <t>Expense</t>
        </is>
      </c>
      <c r="D903" t="inlineStr"/>
      <c r="E903" t="inlineStr">
        <is>
          <t>Redwood Prototyping</t>
        </is>
      </c>
      <c r="F903" t="inlineStr">
        <is>
          <t>Redwood Prototyping invoice 30138</t>
        </is>
      </c>
      <c r="H903" t="inlineStr">
        <is>
          <t>1010 Northgate Checking 7742</t>
        </is>
      </c>
      <c r="I903">
        <f>1301.68</f>
        <v/>
      </c>
      <c r="J903">
        <f>76723.39</f>
        <v/>
      </c>
    </row>
    <row r="904">
      <c r="B904" t="inlineStr">
        <is>
          <t>08/10/2025</t>
        </is>
      </c>
      <c r="C904" t="inlineStr">
        <is>
          <t>Expense</t>
        </is>
      </c>
      <c r="D904" t="inlineStr"/>
      <c r="E904" t="inlineStr">
        <is>
          <t>Bluepeak Engineering</t>
        </is>
      </c>
      <c r="F904" t="inlineStr">
        <is>
          <t>Bluepeak Engineering invoice 66301</t>
        </is>
      </c>
      <c r="H904" t="inlineStr">
        <is>
          <t>1010 Northgate Checking 7742</t>
        </is>
      </c>
      <c r="I904">
        <f>1455.87</f>
        <v/>
      </c>
      <c r="J904">
        <f>78179.26</f>
        <v/>
      </c>
    </row>
    <row r="905">
      <c r="B905" t="inlineStr">
        <is>
          <t>08/11/2025</t>
        </is>
      </c>
      <c r="C905" t="inlineStr">
        <is>
          <t>Expense</t>
        </is>
      </c>
      <c r="D905" t="inlineStr"/>
      <c r="E905" t="inlineStr">
        <is>
          <t>Bluepeak Engineering</t>
        </is>
      </c>
      <c r="F905" t="inlineStr">
        <is>
          <t>Bluepeak Engineering invoice 23787</t>
        </is>
      </c>
      <c r="H905" t="inlineStr">
        <is>
          <t>1010 Northgate Checking 7742</t>
        </is>
      </c>
      <c r="I905">
        <f>547.36</f>
        <v/>
      </c>
      <c r="J905">
        <f>78726.62</f>
        <v/>
      </c>
    </row>
    <row r="906">
      <c r="B906" t="inlineStr">
        <is>
          <t>08/12/2025</t>
        </is>
      </c>
      <c r="C906" t="inlineStr">
        <is>
          <t>Expense</t>
        </is>
      </c>
      <c r="D906" t="inlineStr"/>
      <c r="E906" t="inlineStr">
        <is>
          <t>Redwood Prototyping</t>
        </is>
      </c>
      <c r="F906" t="inlineStr">
        <is>
          <t>Redwood Prototyping invoice 51443</t>
        </is>
      </c>
      <c r="H906" t="inlineStr">
        <is>
          <t>1010 Northgate Checking 7742</t>
        </is>
      </c>
      <c r="I906">
        <f>1078.79</f>
        <v/>
      </c>
      <c r="J906">
        <f>79805.41</f>
        <v/>
      </c>
    </row>
    <row r="907">
      <c r="B907" t="inlineStr">
        <is>
          <t>08/14/2025</t>
        </is>
      </c>
      <c r="C907" t="inlineStr">
        <is>
          <t>Expense</t>
        </is>
      </c>
      <c r="D907" t="inlineStr"/>
      <c r="E907" t="inlineStr">
        <is>
          <t>Redwood Prototyping</t>
        </is>
      </c>
      <c r="F907" t="inlineStr">
        <is>
          <t>Redwood Prototyping invoice 47461</t>
        </is>
      </c>
      <c r="H907" t="inlineStr">
        <is>
          <t>1010 Northgate Checking 7742</t>
        </is>
      </c>
      <c r="I907">
        <f>876.74</f>
        <v/>
      </c>
      <c r="J907">
        <f>80682.15</f>
        <v/>
      </c>
    </row>
    <row r="908">
      <c r="B908" t="inlineStr">
        <is>
          <t>08/14/2025</t>
        </is>
      </c>
      <c r="C908" t="inlineStr">
        <is>
          <t>Expense</t>
        </is>
      </c>
      <c r="D908" t="inlineStr"/>
      <c r="E908" t="inlineStr">
        <is>
          <t>Quartz CAD Services</t>
        </is>
      </c>
      <c r="F908" t="inlineStr">
        <is>
          <t>Quartz CAD Services invoice 45976</t>
        </is>
      </c>
      <c r="H908" t="inlineStr">
        <is>
          <t>1010 Northgate Checking 7742</t>
        </is>
      </c>
      <c r="I908">
        <f>289.46</f>
        <v/>
      </c>
      <c r="J908">
        <f>80971.61</f>
        <v/>
      </c>
    </row>
    <row r="909">
      <c r="B909" t="inlineStr">
        <is>
          <t>08/14/2025</t>
        </is>
      </c>
      <c r="C909" t="inlineStr">
        <is>
          <t>Expense</t>
        </is>
      </c>
      <c r="D909" t="inlineStr"/>
      <c r="E909" t="inlineStr">
        <is>
          <t>Quartz CAD Services</t>
        </is>
      </c>
      <c r="F909" t="inlineStr">
        <is>
          <t>Quartz CAD Services invoice 27500</t>
        </is>
      </c>
      <c r="H909" t="inlineStr">
        <is>
          <t>1010 Northgate Checking 7742</t>
        </is>
      </c>
      <c r="I909">
        <f>345.32</f>
        <v/>
      </c>
      <c r="J909">
        <f>81316.93</f>
        <v/>
      </c>
    </row>
    <row r="910">
      <c r="B910" t="inlineStr">
        <is>
          <t>08/15/2025</t>
        </is>
      </c>
      <c r="C910" t="inlineStr">
        <is>
          <t>Expense</t>
        </is>
      </c>
      <c r="D910" t="inlineStr"/>
      <c r="E910" t="inlineStr">
        <is>
          <t>Redwood Prototyping</t>
        </is>
      </c>
      <c r="F910" t="inlineStr">
        <is>
          <t>Redwood Prototyping invoice 76471</t>
        </is>
      </c>
      <c r="H910" t="inlineStr">
        <is>
          <t>1010 Northgate Checking 7742</t>
        </is>
      </c>
      <c r="I910">
        <f>1268.30</f>
        <v/>
      </c>
      <c r="J910">
        <f>82585.23</f>
        <v/>
      </c>
    </row>
    <row r="911">
      <c r="B911" t="inlineStr">
        <is>
          <t>08/18/2025</t>
        </is>
      </c>
      <c r="C911" t="inlineStr">
        <is>
          <t>Expense</t>
        </is>
      </c>
      <c r="D911" t="inlineStr"/>
      <c r="E911" t="inlineStr">
        <is>
          <t>Trey Research</t>
        </is>
      </c>
      <c r="F911" t="inlineStr">
        <is>
          <t>Trey Research monthly engagement</t>
        </is>
      </c>
      <c r="H911" t="inlineStr">
        <is>
          <t>1010 Northgate Checking 7742</t>
        </is>
      </c>
      <c r="I911">
        <f>2166.25</f>
        <v/>
      </c>
      <c r="J911">
        <f>84751.48</f>
        <v/>
      </c>
    </row>
    <row r="912">
      <c r="B912" t="inlineStr">
        <is>
          <t>08/18/2025</t>
        </is>
      </c>
      <c r="C912" t="inlineStr">
        <is>
          <t>Expense</t>
        </is>
      </c>
      <c r="D912" t="inlineStr"/>
      <c r="E912" t="inlineStr">
        <is>
          <t>Quartz CAD Services</t>
        </is>
      </c>
      <c r="F912" t="inlineStr">
        <is>
          <t>Quartz CAD Services invoice 58805</t>
        </is>
      </c>
      <c r="H912" t="inlineStr">
        <is>
          <t>1010 Northgate Checking 7742</t>
        </is>
      </c>
      <c r="I912">
        <f>247.55</f>
        <v/>
      </c>
      <c r="J912">
        <f>84999.03</f>
        <v/>
      </c>
    </row>
    <row r="913">
      <c r="B913" t="inlineStr">
        <is>
          <t>08/19/2025</t>
        </is>
      </c>
      <c r="C913" t="inlineStr">
        <is>
          <t>Expense</t>
        </is>
      </c>
      <c r="D913" t="inlineStr"/>
      <c r="E913" t="inlineStr">
        <is>
          <t>Bluepeak Engineering</t>
        </is>
      </c>
      <c r="F913" t="inlineStr">
        <is>
          <t>Bluepeak Engineering invoice 45334</t>
        </is>
      </c>
      <c r="H913" t="inlineStr">
        <is>
          <t>1010 Northgate Checking 7742</t>
        </is>
      </c>
      <c r="I913">
        <f>1488.02</f>
        <v/>
      </c>
      <c r="J913">
        <f>86487.05</f>
        <v/>
      </c>
    </row>
    <row r="914">
      <c r="B914" t="inlineStr">
        <is>
          <t>08/23/2025</t>
        </is>
      </c>
      <c r="C914" t="inlineStr">
        <is>
          <t>Expense</t>
        </is>
      </c>
      <c r="D914" t="inlineStr"/>
      <c r="E914" t="inlineStr">
        <is>
          <t>Bluepeak Engineering</t>
        </is>
      </c>
      <c r="F914" t="inlineStr">
        <is>
          <t>Bluepeak Engineering invoice 53742</t>
        </is>
      </c>
      <c r="H914" t="inlineStr">
        <is>
          <t>1010 Northgate Checking 7742</t>
        </is>
      </c>
      <c r="I914">
        <f>1483.99</f>
        <v/>
      </c>
      <c r="J914">
        <f>87971.04</f>
        <v/>
      </c>
    </row>
    <row r="915">
      <c r="B915" t="inlineStr">
        <is>
          <t>08/27/2025</t>
        </is>
      </c>
      <c r="C915" t="inlineStr">
        <is>
          <t>Expense</t>
        </is>
      </c>
      <c r="D915" t="inlineStr"/>
      <c r="E915" t="inlineStr">
        <is>
          <t>Redwood Prototyping</t>
        </is>
      </c>
      <c r="F915" t="inlineStr">
        <is>
          <t>Redwood Prototyping invoice 38698</t>
        </is>
      </c>
      <c r="H915" t="inlineStr">
        <is>
          <t>1010 Northgate Checking 7742</t>
        </is>
      </c>
      <c r="I915">
        <f>493.58</f>
        <v/>
      </c>
      <c r="J915">
        <f>88464.62</f>
        <v/>
      </c>
    </row>
    <row r="916">
      <c r="B916" t="inlineStr">
        <is>
          <t>09/04/2025</t>
        </is>
      </c>
      <c r="C916" t="inlineStr">
        <is>
          <t>Expense</t>
        </is>
      </c>
      <c r="D916" t="inlineStr"/>
      <c r="E916" t="inlineStr">
        <is>
          <t>Bluepeak Engineering</t>
        </is>
      </c>
      <c r="F916" t="inlineStr">
        <is>
          <t>Bluepeak Engineering invoice 23780</t>
        </is>
      </c>
      <c r="H916" t="inlineStr">
        <is>
          <t>1010 Northgate Checking 7742</t>
        </is>
      </c>
      <c r="I916">
        <f>1717.52</f>
        <v/>
      </c>
      <c r="J916">
        <f>90182.14</f>
        <v/>
      </c>
    </row>
    <row r="917">
      <c r="B917" t="inlineStr">
        <is>
          <t>09/06/2025</t>
        </is>
      </c>
      <c r="C917" t="inlineStr">
        <is>
          <t>Expense</t>
        </is>
      </c>
      <c r="D917" t="inlineStr"/>
      <c r="E917" t="inlineStr">
        <is>
          <t>Quartz CAD Services</t>
        </is>
      </c>
      <c r="F917" t="inlineStr">
        <is>
          <t>Quartz CAD Services invoice 88662</t>
        </is>
      </c>
      <c r="H917" t="inlineStr">
        <is>
          <t>1010 Northgate Checking 7742</t>
        </is>
      </c>
      <c r="I917">
        <f>501.80</f>
        <v/>
      </c>
      <c r="J917">
        <f>90683.94</f>
        <v/>
      </c>
    </row>
    <row r="918">
      <c r="B918" t="inlineStr">
        <is>
          <t>09/06/2025</t>
        </is>
      </c>
      <c r="C918" t="inlineStr">
        <is>
          <t>Expense</t>
        </is>
      </c>
      <c r="D918" t="inlineStr"/>
      <c r="E918" t="inlineStr">
        <is>
          <t>Quartz CAD Services</t>
        </is>
      </c>
      <c r="F918" t="inlineStr">
        <is>
          <t>Quartz CAD Services invoice 44295</t>
        </is>
      </c>
      <c r="H918" t="inlineStr">
        <is>
          <t>1010 Northgate Checking 7742</t>
        </is>
      </c>
      <c r="I918">
        <f>405.60</f>
        <v/>
      </c>
      <c r="J918">
        <f>91089.54</f>
        <v/>
      </c>
    </row>
    <row r="919">
      <c r="B919" t="inlineStr">
        <is>
          <t>09/07/2025</t>
        </is>
      </c>
      <c r="C919" t="inlineStr">
        <is>
          <t>Expense</t>
        </is>
      </c>
      <c r="D919" t="inlineStr"/>
      <c r="E919" t="inlineStr">
        <is>
          <t>Redwood Prototyping</t>
        </is>
      </c>
      <c r="F919" t="inlineStr">
        <is>
          <t>Redwood Prototyping invoice 18714</t>
        </is>
      </c>
      <c r="H919" t="inlineStr">
        <is>
          <t>1010 Northgate Checking 7742</t>
        </is>
      </c>
      <c r="I919">
        <f>970.97</f>
        <v/>
      </c>
      <c r="J919">
        <f>92060.51</f>
        <v/>
      </c>
    </row>
    <row r="920">
      <c r="B920" t="inlineStr">
        <is>
          <t>09/08/2025</t>
        </is>
      </c>
      <c r="C920" t="inlineStr">
        <is>
          <t>Expense</t>
        </is>
      </c>
      <c r="D920" t="inlineStr"/>
      <c r="E920" t="inlineStr">
        <is>
          <t>Redwood Prototyping</t>
        </is>
      </c>
      <c r="F920" t="inlineStr">
        <is>
          <t>Redwood Prototyping invoice 21978</t>
        </is>
      </c>
      <c r="H920" t="inlineStr">
        <is>
          <t>1010 Northgate Checking 7742</t>
        </is>
      </c>
      <c r="I920">
        <f>1259.38</f>
        <v/>
      </c>
      <c r="J920">
        <f>93319.89</f>
        <v/>
      </c>
    </row>
    <row r="921">
      <c r="B921" t="inlineStr">
        <is>
          <t>09/09/2025</t>
        </is>
      </c>
      <c r="C921" t="inlineStr">
        <is>
          <t>Expense</t>
        </is>
      </c>
      <c r="D921" t="inlineStr"/>
      <c r="E921" t="inlineStr">
        <is>
          <t>Redwood Prototyping</t>
        </is>
      </c>
      <c r="F921" t="inlineStr">
        <is>
          <t>Redwood Prototyping invoice 24763</t>
        </is>
      </c>
      <c r="H921" t="inlineStr">
        <is>
          <t>1010 Northgate Checking 7742</t>
        </is>
      </c>
      <c r="I921">
        <f>1350.09</f>
        <v/>
      </c>
      <c r="J921">
        <f>94669.98</f>
        <v/>
      </c>
    </row>
    <row r="922">
      <c r="B922" t="inlineStr">
        <is>
          <t>09/11/2025</t>
        </is>
      </c>
      <c r="C922" t="inlineStr">
        <is>
          <t>Expense</t>
        </is>
      </c>
      <c r="D922" t="inlineStr"/>
      <c r="E922" t="inlineStr">
        <is>
          <t>Redwood Prototyping</t>
        </is>
      </c>
      <c r="F922" t="inlineStr">
        <is>
          <t>Redwood Prototyping invoice 63578</t>
        </is>
      </c>
      <c r="H922" t="inlineStr">
        <is>
          <t>1010 Northgate Checking 7742</t>
        </is>
      </c>
      <c r="I922">
        <f>1141.10</f>
        <v/>
      </c>
      <c r="J922">
        <f>95811.08</f>
        <v/>
      </c>
    </row>
    <row r="923">
      <c r="B923" t="inlineStr">
        <is>
          <t>09/11/2025</t>
        </is>
      </c>
      <c r="C923" t="inlineStr">
        <is>
          <t>Expense</t>
        </is>
      </c>
      <c r="D923" t="inlineStr"/>
      <c r="E923" t="inlineStr">
        <is>
          <t>Quartz CAD Services</t>
        </is>
      </c>
      <c r="F923" t="inlineStr">
        <is>
          <t>Quartz CAD Services invoice 13005</t>
        </is>
      </c>
      <c r="H923" t="inlineStr">
        <is>
          <t>1010 Northgate Checking 7742</t>
        </is>
      </c>
      <c r="I923">
        <f>728.91</f>
        <v/>
      </c>
      <c r="J923">
        <f>96539.99</f>
        <v/>
      </c>
    </row>
    <row r="924">
      <c r="B924" t="inlineStr">
        <is>
          <t>09/12/2025</t>
        </is>
      </c>
      <c r="C924" t="inlineStr">
        <is>
          <t>Expense</t>
        </is>
      </c>
      <c r="D924" t="inlineStr"/>
      <c r="E924" t="inlineStr">
        <is>
          <t>Redwood Prototyping</t>
        </is>
      </c>
      <c r="F924" t="inlineStr">
        <is>
          <t>Redwood Prototyping invoice 18469</t>
        </is>
      </c>
      <c r="H924" t="inlineStr">
        <is>
          <t>1010 Northgate Checking 7742</t>
        </is>
      </c>
      <c r="I924">
        <f>604.86</f>
        <v/>
      </c>
      <c r="J924">
        <f>97144.85</f>
        <v/>
      </c>
    </row>
    <row r="925">
      <c r="B925" t="inlineStr">
        <is>
          <t>09/15/2025</t>
        </is>
      </c>
      <c r="C925" t="inlineStr">
        <is>
          <t>Expense</t>
        </is>
      </c>
      <c r="D925" t="inlineStr"/>
      <c r="E925" t="inlineStr">
        <is>
          <t>Bluepeak Engineering</t>
        </is>
      </c>
      <c r="F925" t="inlineStr">
        <is>
          <t>Bluepeak Engineering invoice 73587</t>
        </is>
      </c>
      <c r="H925" t="inlineStr">
        <is>
          <t>1010 Northgate Checking 7742</t>
        </is>
      </c>
      <c r="I925">
        <f>1358.77</f>
        <v/>
      </c>
      <c r="J925">
        <f>98503.62</f>
        <v/>
      </c>
    </row>
    <row r="926">
      <c r="B926" t="inlineStr">
        <is>
          <t>09/16/2025</t>
        </is>
      </c>
      <c r="C926" t="inlineStr">
        <is>
          <t>Expense</t>
        </is>
      </c>
      <c r="D926" t="inlineStr"/>
      <c r="E926" t="inlineStr">
        <is>
          <t>Redwood Prototyping</t>
        </is>
      </c>
      <c r="F926" t="inlineStr">
        <is>
          <t>Redwood Prototyping invoice 26458</t>
        </is>
      </c>
      <c r="H926" t="inlineStr">
        <is>
          <t>1010 Northgate Checking 7742</t>
        </is>
      </c>
      <c r="I926">
        <f>613.65</f>
        <v/>
      </c>
      <c r="J926">
        <f>99117.27</f>
        <v/>
      </c>
    </row>
    <row r="927">
      <c r="B927" t="inlineStr">
        <is>
          <t>09/18/2025</t>
        </is>
      </c>
      <c r="C927" t="inlineStr">
        <is>
          <t>Expense</t>
        </is>
      </c>
      <c r="D927" t="inlineStr"/>
      <c r="E927" t="inlineStr">
        <is>
          <t>Quartz CAD Services</t>
        </is>
      </c>
      <c r="F927" t="inlineStr">
        <is>
          <t>Quartz CAD Services invoice 38641</t>
        </is>
      </c>
      <c r="H927" t="inlineStr">
        <is>
          <t>1010 Northgate Checking 7742</t>
        </is>
      </c>
      <c r="I927">
        <f>608.55</f>
        <v/>
      </c>
      <c r="J927">
        <f>99725.82</f>
        <v/>
      </c>
    </row>
    <row r="928">
      <c r="B928" t="inlineStr">
        <is>
          <t>09/20/2025</t>
        </is>
      </c>
      <c r="C928" t="inlineStr">
        <is>
          <t>Expense</t>
        </is>
      </c>
      <c r="D928" t="inlineStr"/>
      <c r="E928" t="inlineStr">
        <is>
          <t>Redwood Prototyping</t>
        </is>
      </c>
      <c r="F928" t="inlineStr">
        <is>
          <t>Redwood Prototyping invoice 58358</t>
        </is>
      </c>
      <c r="H928" t="inlineStr">
        <is>
          <t>1010 Northgate Checking 7742</t>
        </is>
      </c>
      <c r="I928">
        <f>1093.87</f>
        <v/>
      </c>
      <c r="J928">
        <f>100819.69</f>
        <v/>
      </c>
    </row>
    <row r="929">
      <c r="B929" t="inlineStr">
        <is>
          <t>09/20/2025</t>
        </is>
      </c>
      <c r="C929" t="inlineStr">
        <is>
          <t>Expense</t>
        </is>
      </c>
      <c r="D929" t="inlineStr"/>
      <c r="E929" t="inlineStr">
        <is>
          <t>Redwood Prototyping</t>
        </is>
      </c>
      <c r="F929" t="inlineStr">
        <is>
          <t>Redwood Prototyping invoice 55434</t>
        </is>
      </c>
      <c r="H929" t="inlineStr">
        <is>
          <t>1010 Northgate Checking 7742</t>
        </is>
      </c>
      <c r="I929">
        <f>1145.70</f>
        <v/>
      </c>
      <c r="J929">
        <f>101965.39</f>
        <v/>
      </c>
    </row>
    <row r="930">
      <c r="B930" t="inlineStr">
        <is>
          <t>09/25/2025</t>
        </is>
      </c>
      <c r="C930" t="inlineStr">
        <is>
          <t>Expense</t>
        </is>
      </c>
      <c r="D930" t="inlineStr"/>
      <c r="E930" t="inlineStr">
        <is>
          <t>Quartz CAD Services</t>
        </is>
      </c>
      <c r="F930" t="inlineStr">
        <is>
          <t>Quartz CAD Services invoice 90682</t>
        </is>
      </c>
      <c r="H930" t="inlineStr">
        <is>
          <t>1010 Northgate Checking 7742</t>
        </is>
      </c>
      <c r="I930">
        <f>308.34</f>
        <v/>
      </c>
      <c r="J930">
        <f>102273.73</f>
        <v/>
      </c>
    </row>
    <row r="931">
      <c r="B931" t="inlineStr">
        <is>
          <t>09/26/2025</t>
        </is>
      </c>
      <c r="C931" t="inlineStr">
        <is>
          <t>Expense</t>
        </is>
      </c>
      <c r="D931" t="inlineStr"/>
      <c r="E931" t="inlineStr">
        <is>
          <t>Redwood Prototyping</t>
        </is>
      </c>
      <c r="F931" t="inlineStr">
        <is>
          <t>Redwood Prototyping invoice 85075</t>
        </is>
      </c>
      <c r="H931" t="inlineStr">
        <is>
          <t>1010 Northgate Checking 7742</t>
        </is>
      </c>
      <c r="I931">
        <f>1324.37</f>
        <v/>
      </c>
      <c r="J931">
        <f>103598.10</f>
        <v/>
      </c>
    </row>
    <row r="932">
      <c r="B932" t="inlineStr">
        <is>
          <t>09/27/2025</t>
        </is>
      </c>
      <c r="C932" t="inlineStr">
        <is>
          <t>Expense</t>
        </is>
      </c>
      <c r="D932" t="inlineStr"/>
      <c r="E932" t="inlineStr">
        <is>
          <t>Quartz CAD Services</t>
        </is>
      </c>
      <c r="F932" t="inlineStr">
        <is>
          <t>Quartz CAD Services invoice 16790</t>
        </is>
      </c>
      <c r="H932" t="inlineStr">
        <is>
          <t>1010 Northgate Checking 7742</t>
        </is>
      </c>
      <c r="I932">
        <f>687.56</f>
        <v/>
      </c>
      <c r="J932">
        <f>104285.66</f>
        <v/>
      </c>
    </row>
    <row r="933">
      <c r="A933" t="inlineStr">
        <is>
          <t>Total for 6100 Contract Engineering</t>
        </is>
      </c>
      <c r="I933">
        <f>104285.66</f>
        <v/>
      </c>
    </row>
    <row r="934"/>
    <row r="935">
      <c r="A935" t="inlineStr">
        <is>
          <t>6200 Software Subscriptions</t>
        </is>
      </c>
    </row>
    <row r="936">
      <c r="G936" t="inlineStr">
        <is>
          <t>Beginning Balance</t>
        </is>
      </c>
      <c r="J936">
        <f>0.00</f>
        <v/>
      </c>
    </row>
    <row r="937">
      <c r="B937" t="inlineStr">
        <is>
          <t>01/17/2025</t>
        </is>
      </c>
      <c r="C937" t="inlineStr">
        <is>
          <t>Credit Card Charge</t>
        </is>
      </c>
      <c r="D937" t="inlineStr"/>
      <c r="E937" t="inlineStr">
        <is>
          <t>Tailspin Tools</t>
        </is>
      </c>
      <c r="F937" t="inlineStr">
        <is>
          <t>Tailspin Tools 2025-01</t>
        </is>
      </c>
      <c r="H937" t="inlineStr">
        <is>
          <t>2100 Vantage Card 3391</t>
        </is>
      </c>
      <c r="I937">
        <f>105.26</f>
        <v/>
      </c>
      <c r="J937">
        <f>105.26</f>
        <v/>
      </c>
    </row>
    <row r="938">
      <c r="B938" t="inlineStr">
        <is>
          <t>02/20/2025</t>
        </is>
      </c>
      <c r="C938" t="inlineStr">
        <is>
          <t>Credit Card Charge</t>
        </is>
      </c>
      <c r="D938" t="inlineStr"/>
      <c r="E938" t="inlineStr">
        <is>
          <t>Tailspin Tools</t>
        </is>
      </c>
      <c r="F938" t="inlineStr">
        <is>
          <t>Tailspin Tools 2025-02</t>
        </is>
      </c>
      <c r="H938" t="inlineStr">
        <is>
          <t>2100 Vantage Card 3391</t>
        </is>
      </c>
      <c r="I938">
        <f>121.30</f>
        <v/>
      </c>
      <c r="J938">
        <f>226.56</f>
        <v/>
      </c>
    </row>
    <row r="939">
      <c r="B939" t="inlineStr">
        <is>
          <t>02/20/2025</t>
        </is>
      </c>
      <c r="C939" t="inlineStr">
        <is>
          <t>Credit Card Charge</t>
        </is>
      </c>
      <c r="D939" t="inlineStr"/>
      <c r="E939" t="inlineStr">
        <is>
          <t>Tailspin Tools</t>
        </is>
      </c>
      <c r="F939" t="inlineStr">
        <is>
          <t>Tailspin Tools 2025-02</t>
        </is>
      </c>
      <c r="H939" t="inlineStr">
        <is>
          <t>2100 Vantage Card 3391</t>
        </is>
      </c>
      <c r="I939">
        <f>132.87</f>
        <v/>
      </c>
      <c r="J939">
        <f>359.43</f>
        <v/>
      </c>
    </row>
    <row r="940">
      <c r="B940" t="inlineStr">
        <is>
          <t>03/27/2025</t>
        </is>
      </c>
      <c r="C940" t="inlineStr">
        <is>
          <t>Credit Card Charge</t>
        </is>
      </c>
      <c r="D940" t="inlineStr"/>
      <c r="E940" t="inlineStr">
        <is>
          <t>Tailspin Tools</t>
        </is>
      </c>
      <c r="F940" t="inlineStr">
        <is>
          <t>Tailspin Tools 2025-03</t>
        </is>
      </c>
      <c r="H940" t="inlineStr">
        <is>
          <t>2100 Vantage Card 3391</t>
        </is>
      </c>
      <c r="I940">
        <f>55.09</f>
        <v/>
      </c>
      <c r="J940">
        <f>414.52</f>
        <v/>
      </c>
    </row>
    <row r="941">
      <c r="B941" t="inlineStr">
        <is>
          <t>03/31/2025</t>
        </is>
      </c>
      <c r="C941" t="inlineStr">
        <is>
          <t>Journal Entry</t>
        </is>
      </c>
      <c r="D941" t="inlineStr">
        <is>
          <t>JE-1011</t>
        </is>
      </c>
      <c r="E941" t="inlineStr">
        <is>
          <t>Tailspin Tools</t>
        </is>
      </c>
      <c r="F941" t="inlineStr">
        <is>
          <t>Software 2025-03</t>
        </is>
      </c>
      <c r="H941" t="inlineStr">
        <is>
          <t>1310 Prepaid Software</t>
        </is>
      </c>
      <c r="I941">
        <f>800.00</f>
        <v/>
      </c>
      <c r="J941">
        <f>1214.52</f>
        <v/>
      </c>
    </row>
    <row r="942">
      <c r="B942" t="inlineStr">
        <is>
          <t>04/14/2025</t>
        </is>
      </c>
      <c r="C942" t="inlineStr">
        <is>
          <t>Credit Card Charge</t>
        </is>
      </c>
      <c r="D942" t="inlineStr"/>
      <c r="E942" t="inlineStr">
        <is>
          <t>Tailspin Tools</t>
        </is>
      </c>
      <c r="F942" t="inlineStr">
        <is>
          <t>Tailspin Tools 2025-04</t>
        </is>
      </c>
      <c r="H942" t="inlineStr">
        <is>
          <t>2100 Vantage Card 3391</t>
        </is>
      </c>
      <c r="I942">
        <f>101.02</f>
        <v/>
      </c>
      <c r="J942">
        <f>1315.54</f>
        <v/>
      </c>
    </row>
    <row r="943">
      <c r="B943" t="inlineStr">
        <is>
          <t>04/30/2025</t>
        </is>
      </c>
      <c r="C943" t="inlineStr">
        <is>
          <t>Journal Entry</t>
        </is>
      </c>
      <c r="D943" t="inlineStr">
        <is>
          <t>JE-1016</t>
        </is>
      </c>
      <c r="E943" t="inlineStr">
        <is>
          <t>Tailspin Tools</t>
        </is>
      </c>
      <c r="F943" t="inlineStr">
        <is>
          <t>Software 2025-04</t>
        </is>
      </c>
      <c r="H943" t="inlineStr">
        <is>
          <t>1310 Prepaid Software</t>
        </is>
      </c>
      <c r="I943">
        <f>800.00</f>
        <v/>
      </c>
      <c r="J943">
        <f>2115.54</f>
        <v/>
      </c>
    </row>
    <row r="944">
      <c r="B944" t="inlineStr">
        <is>
          <t>05/31/2025</t>
        </is>
      </c>
      <c r="C944" t="inlineStr">
        <is>
          <t>Journal Entry</t>
        </is>
      </c>
      <c r="D944" t="inlineStr">
        <is>
          <t>JE-1021</t>
        </is>
      </c>
      <c r="E944" t="inlineStr">
        <is>
          <t>Tailspin Tools</t>
        </is>
      </c>
      <c r="F944" t="inlineStr">
        <is>
          <t>Software 2025-05</t>
        </is>
      </c>
      <c r="H944" t="inlineStr">
        <is>
          <t>1310 Prepaid Software</t>
        </is>
      </c>
      <c r="I944">
        <f>800.00</f>
        <v/>
      </c>
      <c r="J944">
        <f>2915.54</f>
        <v/>
      </c>
    </row>
    <row r="945">
      <c r="B945" t="inlineStr">
        <is>
          <t>06/26/2025</t>
        </is>
      </c>
      <c r="C945" t="inlineStr">
        <is>
          <t>Credit Card Charge</t>
        </is>
      </c>
      <c r="D945" t="inlineStr"/>
      <c r="E945" t="inlineStr">
        <is>
          <t>Tailspin Tools</t>
        </is>
      </c>
      <c r="F945" t="inlineStr">
        <is>
          <t>Tailspin Tools 2025-06</t>
        </is>
      </c>
      <c r="H945" t="inlineStr">
        <is>
          <t>Vantage Credit Card 3391</t>
        </is>
      </c>
      <c r="I945">
        <f>194.76</f>
        <v/>
      </c>
      <c r="J945">
        <f>3110.30</f>
        <v/>
      </c>
    </row>
    <row r="946">
      <c r="B946" t="inlineStr">
        <is>
          <t>06/30/2025</t>
        </is>
      </c>
      <c r="C946" t="inlineStr">
        <is>
          <t>Journal Entry</t>
        </is>
      </c>
      <c r="D946" t="inlineStr">
        <is>
          <t>JE-1026</t>
        </is>
      </c>
      <c r="E946" t="inlineStr">
        <is>
          <t>Tailspin Tools</t>
        </is>
      </c>
      <c r="F946" t="inlineStr">
        <is>
          <t>Software 2025-06</t>
        </is>
      </c>
      <c r="H946" t="inlineStr">
        <is>
          <t>1310 Prepaid Software</t>
        </is>
      </c>
      <c r="I946">
        <f>800.00</f>
        <v/>
      </c>
      <c r="J946">
        <f>3910.30</f>
        <v/>
      </c>
    </row>
    <row r="947">
      <c r="B947" t="inlineStr">
        <is>
          <t>07/09/2025</t>
        </is>
      </c>
      <c r="C947" t="inlineStr">
        <is>
          <t>Credit Card Charge</t>
        </is>
      </c>
      <c r="D947" t="inlineStr"/>
      <c r="E947" t="inlineStr">
        <is>
          <t>Tailspin Tools</t>
        </is>
      </c>
      <c r="F947" t="inlineStr">
        <is>
          <t>Tailspin Tools 2025-07</t>
        </is>
      </c>
      <c r="H947" t="inlineStr">
        <is>
          <t>Vantage Credit Card 3391</t>
        </is>
      </c>
      <c r="I947">
        <f>314.88</f>
        <v/>
      </c>
      <c r="J947">
        <f>4225.18</f>
        <v/>
      </c>
    </row>
    <row r="948">
      <c r="B948" t="inlineStr">
        <is>
          <t>07/22/2025</t>
        </is>
      </c>
      <c r="C948" t="inlineStr">
        <is>
          <t>Credit Card Charge</t>
        </is>
      </c>
      <c r="D948" t="inlineStr"/>
      <c r="E948" t="inlineStr">
        <is>
          <t>Tailspin Tools</t>
        </is>
      </c>
      <c r="F948" t="inlineStr">
        <is>
          <t>Tailspin Tools 2025-07</t>
        </is>
      </c>
      <c r="H948" t="inlineStr">
        <is>
          <t>Vantage Credit Card 3391</t>
        </is>
      </c>
      <c r="I948">
        <f>188.17</f>
        <v/>
      </c>
      <c r="J948">
        <f>4413.35</f>
        <v/>
      </c>
    </row>
    <row r="949">
      <c r="B949" t="inlineStr">
        <is>
          <t>07/31/2025</t>
        </is>
      </c>
      <c r="C949" t="inlineStr">
        <is>
          <t>Journal Entry</t>
        </is>
      </c>
      <c r="D949" t="inlineStr">
        <is>
          <t>JE-1030</t>
        </is>
      </c>
      <c r="E949" t="inlineStr">
        <is>
          <t>Tailspin Tools</t>
        </is>
      </c>
      <c r="F949" t="inlineStr">
        <is>
          <t>Software 2025-07</t>
        </is>
      </c>
      <c r="H949" t="inlineStr">
        <is>
          <t>1310 Prepaid Software</t>
        </is>
      </c>
      <c r="I949">
        <f>800.00</f>
        <v/>
      </c>
      <c r="J949">
        <f>5213.35</f>
        <v/>
      </c>
    </row>
    <row r="950">
      <c r="B950" t="inlineStr">
        <is>
          <t>08/31/2025</t>
        </is>
      </c>
      <c r="C950" t="inlineStr">
        <is>
          <t>Journal Entry</t>
        </is>
      </c>
      <c r="D950" t="inlineStr">
        <is>
          <t>JE-1034</t>
        </is>
      </c>
      <c r="E950" t="inlineStr">
        <is>
          <t>Tailspin Tools</t>
        </is>
      </c>
      <c r="F950" t="inlineStr">
        <is>
          <t>Software 2025-08</t>
        </is>
      </c>
      <c r="H950" t="inlineStr">
        <is>
          <t>1310 Prepaid Software</t>
        </is>
      </c>
      <c r="I950">
        <f>800.00</f>
        <v/>
      </c>
      <c r="J950">
        <f>6013.35</f>
        <v/>
      </c>
    </row>
    <row r="951">
      <c r="A951" t="inlineStr">
        <is>
          <t>Total for 6200 Software Subscriptions</t>
        </is>
      </c>
      <c r="I951">
        <f>6013.35</f>
        <v/>
      </c>
    </row>
    <row r="952"/>
    <row r="953">
      <c r="A953" t="inlineStr">
        <is>
          <t>6300 Cloud Hosting</t>
        </is>
      </c>
    </row>
    <row r="954">
      <c r="G954" t="inlineStr">
        <is>
          <t>Beginning Balance</t>
        </is>
      </c>
      <c r="J954">
        <f>0.00</f>
        <v/>
      </c>
    </row>
    <row r="955">
      <c r="B955" t="inlineStr">
        <is>
          <t>01/04/2025</t>
        </is>
      </c>
      <c r="C955" t="inlineStr">
        <is>
          <t>Credit Card Charge</t>
        </is>
      </c>
      <c r="D955" t="inlineStr"/>
      <c r="E955" t="inlineStr">
        <is>
          <t>Contoso Cloud</t>
        </is>
      </c>
      <c r="F955" t="inlineStr">
        <is>
          <t>Cloud hosting 2025-01</t>
        </is>
      </c>
      <c r="H955" t="inlineStr">
        <is>
          <t>2100 Vantage Card 3391</t>
        </is>
      </c>
      <c r="I955">
        <f>2400.00</f>
        <v/>
      </c>
      <c r="J955">
        <f>2400.00</f>
        <v/>
      </c>
    </row>
    <row r="956">
      <c r="B956" t="inlineStr">
        <is>
          <t>01/08/2025</t>
        </is>
      </c>
      <c r="C956" t="inlineStr">
        <is>
          <t>Credit Card Charge</t>
        </is>
      </c>
      <c r="D956" t="inlineStr"/>
      <c r="E956" t="inlineStr">
        <is>
          <t>Contoso Cloud</t>
        </is>
      </c>
      <c r="F956" t="inlineStr">
        <is>
          <t>Contoso Cloud 2025-01</t>
        </is>
      </c>
      <c r="H956" t="inlineStr">
        <is>
          <t>2100 Vantage Card 3391</t>
        </is>
      </c>
      <c r="I956">
        <f>390.97</f>
        <v/>
      </c>
      <c r="J956">
        <f>2790.97</f>
        <v/>
      </c>
    </row>
    <row r="957">
      <c r="B957" t="inlineStr">
        <is>
          <t>02/04/2025</t>
        </is>
      </c>
      <c r="C957" t="inlineStr">
        <is>
          <t>Credit Card Charge</t>
        </is>
      </c>
      <c r="D957" t="inlineStr"/>
      <c r="E957" t="inlineStr">
        <is>
          <t>Contoso Cloud</t>
        </is>
      </c>
      <c r="F957" t="inlineStr">
        <is>
          <t>Cloud hosting 2025-02</t>
        </is>
      </c>
      <c r="H957" t="inlineStr">
        <is>
          <t>2100 Vantage Card 3391</t>
        </is>
      </c>
      <c r="I957">
        <f>2520.00</f>
        <v/>
      </c>
      <c r="J957">
        <f>5310.97</f>
        <v/>
      </c>
    </row>
    <row r="958">
      <c r="B958" t="inlineStr">
        <is>
          <t>03/04/2025</t>
        </is>
      </c>
      <c r="C958" t="inlineStr">
        <is>
          <t>Credit Card Charge</t>
        </is>
      </c>
      <c r="D958" t="inlineStr"/>
      <c r="E958" t="inlineStr">
        <is>
          <t>Contoso Cloud</t>
        </is>
      </c>
      <c r="F958" t="inlineStr">
        <is>
          <t>Cloud hosting 2025-03</t>
        </is>
      </c>
      <c r="H958" t="inlineStr">
        <is>
          <t>2100 Vantage Card 3391</t>
        </is>
      </c>
      <c r="I958">
        <f>2640.00</f>
        <v/>
      </c>
      <c r="J958">
        <f>7950.97</f>
        <v/>
      </c>
    </row>
    <row r="959">
      <c r="B959" t="inlineStr">
        <is>
          <t>03/15/2025</t>
        </is>
      </c>
      <c r="C959" t="inlineStr">
        <is>
          <t>Credit Card Charge</t>
        </is>
      </c>
      <c r="D959" t="inlineStr"/>
      <c r="E959" t="inlineStr">
        <is>
          <t>Contoso Cloud</t>
        </is>
      </c>
      <c r="F959" t="inlineStr">
        <is>
          <t>Contoso Cloud 2025-03</t>
        </is>
      </c>
      <c r="H959" t="inlineStr">
        <is>
          <t>2100 Vantage Card 3391</t>
        </is>
      </c>
      <c r="I959">
        <f>610.28</f>
        <v/>
      </c>
      <c r="J959">
        <f>8561.25</f>
        <v/>
      </c>
    </row>
    <row r="960">
      <c r="B960" t="inlineStr">
        <is>
          <t>03/19/2025</t>
        </is>
      </c>
      <c r="C960" t="inlineStr">
        <is>
          <t>Credit Card Charge</t>
        </is>
      </c>
      <c r="D960" t="inlineStr"/>
      <c r="E960" t="inlineStr">
        <is>
          <t>Contoso Cloud</t>
        </is>
      </c>
      <c r="F960" t="inlineStr">
        <is>
          <t>Contoso Cloud 2025-03</t>
        </is>
      </c>
      <c r="H960" t="inlineStr">
        <is>
          <t>2100 Vantage Card 3391</t>
        </is>
      </c>
      <c r="I960">
        <f>361.57</f>
        <v/>
      </c>
      <c r="J960">
        <f>8922.82</f>
        <v/>
      </c>
    </row>
    <row r="961">
      <c r="B961" t="inlineStr">
        <is>
          <t>03/27/2025</t>
        </is>
      </c>
      <c r="C961" t="inlineStr">
        <is>
          <t>Credit Card Charge</t>
        </is>
      </c>
      <c r="D961" t="inlineStr"/>
      <c r="E961" t="inlineStr">
        <is>
          <t>Contoso Cloud</t>
        </is>
      </c>
      <c r="F961" t="inlineStr">
        <is>
          <t>Contoso Cloud 2025-03</t>
        </is>
      </c>
      <c r="H961" t="inlineStr">
        <is>
          <t>2100 Vantage Card 3391</t>
        </is>
      </c>
      <c r="I961">
        <f>1388.20</f>
        <v/>
      </c>
      <c r="J961">
        <f>10311.02</f>
        <v/>
      </c>
    </row>
    <row r="962">
      <c r="B962" t="inlineStr">
        <is>
          <t>04/03/2025</t>
        </is>
      </c>
      <c r="C962" t="inlineStr">
        <is>
          <t>Credit Card Charge</t>
        </is>
      </c>
      <c r="D962" t="inlineStr"/>
      <c r="E962" t="inlineStr">
        <is>
          <t>Contoso Cloud</t>
        </is>
      </c>
      <c r="F962" t="inlineStr">
        <is>
          <t>Contoso Cloud 2025-04</t>
        </is>
      </c>
      <c r="H962" t="inlineStr">
        <is>
          <t>2100 Vantage Card 3391</t>
        </is>
      </c>
      <c r="I962">
        <f>193.32</f>
        <v/>
      </c>
      <c r="J962">
        <f>10504.34</f>
        <v/>
      </c>
    </row>
    <row r="963">
      <c r="B963" t="inlineStr">
        <is>
          <t>04/04/2025</t>
        </is>
      </c>
      <c r="C963" t="inlineStr">
        <is>
          <t>Credit Card Charge</t>
        </is>
      </c>
      <c r="D963" t="inlineStr"/>
      <c r="E963" t="inlineStr">
        <is>
          <t>Contoso Cloud</t>
        </is>
      </c>
      <c r="F963" t="inlineStr">
        <is>
          <t>Cloud hosting 2025-04</t>
        </is>
      </c>
      <c r="H963" t="inlineStr">
        <is>
          <t>2100 Vantage Card 3391</t>
        </is>
      </c>
      <c r="I963">
        <f>2760.00</f>
        <v/>
      </c>
      <c r="J963">
        <f>13264.34</f>
        <v/>
      </c>
    </row>
    <row r="964">
      <c r="B964" t="inlineStr">
        <is>
          <t>05/04/2025</t>
        </is>
      </c>
      <c r="C964" t="inlineStr">
        <is>
          <t>Credit Card Charge</t>
        </is>
      </c>
      <c r="D964" t="inlineStr"/>
      <c r="E964" t="inlineStr">
        <is>
          <t>Contoso Cloud</t>
        </is>
      </c>
      <c r="F964" t="inlineStr">
        <is>
          <t>Cloud hosting 2025-05</t>
        </is>
      </c>
      <c r="H964" t="inlineStr">
        <is>
          <t>Vantage Credit Card 3391</t>
        </is>
      </c>
      <c r="I964">
        <f>2880.00</f>
        <v/>
      </c>
      <c r="J964">
        <f>16144.34</f>
        <v/>
      </c>
    </row>
    <row r="965">
      <c r="B965" t="inlineStr">
        <is>
          <t>05/09/2025</t>
        </is>
      </c>
      <c r="C965" t="inlineStr">
        <is>
          <t>Credit Card Charge</t>
        </is>
      </c>
      <c r="D965" t="inlineStr"/>
      <c r="E965" t="inlineStr">
        <is>
          <t>Contoso Cloud</t>
        </is>
      </c>
      <c r="F965" t="inlineStr">
        <is>
          <t>Contoso Cloud 2025-05</t>
        </is>
      </c>
      <c r="H965" t="inlineStr">
        <is>
          <t>Vantage Credit Card 3391</t>
        </is>
      </c>
      <c r="I965">
        <f>266.75</f>
        <v/>
      </c>
      <c r="J965">
        <f>16411.09</f>
        <v/>
      </c>
    </row>
    <row r="966">
      <c r="B966" t="inlineStr">
        <is>
          <t>05/19/2025</t>
        </is>
      </c>
      <c r="C966" t="inlineStr">
        <is>
          <t>Credit Card Charge</t>
        </is>
      </c>
      <c r="D966" t="inlineStr"/>
      <c r="E966" t="inlineStr">
        <is>
          <t>Contoso Cloud</t>
        </is>
      </c>
      <c r="F966" t="inlineStr">
        <is>
          <t>Contoso Cloud 2025-05</t>
        </is>
      </c>
      <c r="H966" t="inlineStr">
        <is>
          <t>Vantage Credit Card 3391</t>
        </is>
      </c>
      <c r="I966">
        <f>1311.86</f>
        <v/>
      </c>
      <c r="J966">
        <f>17722.95</f>
        <v/>
      </c>
    </row>
    <row r="967">
      <c r="B967" t="inlineStr">
        <is>
          <t>05/20/2025</t>
        </is>
      </c>
      <c r="C967" t="inlineStr">
        <is>
          <t>Credit Card Charge</t>
        </is>
      </c>
      <c r="D967" t="inlineStr"/>
      <c r="E967" t="inlineStr">
        <is>
          <t>Contoso Cloud</t>
        </is>
      </c>
      <c r="F967" t="inlineStr">
        <is>
          <t>Contoso Cloud 2025-05</t>
        </is>
      </c>
      <c r="H967" t="inlineStr">
        <is>
          <t>Vantage Credit Card 3391</t>
        </is>
      </c>
      <c r="I967">
        <f>1358.11</f>
        <v/>
      </c>
      <c r="J967">
        <f>19081.06</f>
        <v/>
      </c>
    </row>
    <row r="968">
      <c r="B968" t="inlineStr">
        <is>
          <t>06/04/2025</t>
        </is>
      </c>
      <c r="C968" t="inlineStr">
        <is>
          <t>Credit Card Charge</t>
        </is>
      </c>
      <c r="D968" t="inlineStr"/>
      <c r="E968" t="inlineStr">
        <is>
          <t>Contoso Cloud</t>
        </is>
      </c>
      <c r="F968" t="inlineStr">
        <is>
          <t>Cloud hosting 2025-06</t>
        </is>
      </c>
      <c r="H968" t="inlineStr">
        <is>
          <t>Vantage Credit Card 3391</t>
        </is>
      </c>
      <c r="I968">
        <f>3000.00</f>
        <v/>
      </c>
      <c r="J968">
        <f>22081.06</f>
        <v/>
      </c>
    </row>
    <row r="969">
      <c r="B969" t="inlineStr">
        <is>
          <t>06/10/2025</t>
        </is>
      </c>
      <c r="C969" t="inlineStr">
        <is>
          <t>Credit Card Charge</t>
        </is>
      </c>
      <c r="D969" t="inlineStr"/>
      <c r="E969" t="inlineStr">
        <is>
          <t>Contoso Cloud</t>
        </is>
      </c>
      <c r="F969" t="inlineStr">
        <is>
          <t>Contoso Cloud 2025-06</t>
        </is>
      </c>
      <c r="H969" t="inlineStr">
        <is>
          <t>Vantage Credit Card 3391</t>
        </is>
      </c>
      <c r="I969">
        <f>999.02</f>
        <v/>
      </c>
      <c r="J969">
        <f>23080.08</f>
        <v/>
      </c>
    </row>
    <row r="970">
      <c r="B970" t="inlineStr">
        <is>
          <t>06/14/2025</t>
        </is>
      </c>
      <c r="C970" t="inlineStr">
        <is>
          <t>Credit Card Charge</t>
        </is>
      </c>
      <c r="D970" t="inlineStr"/>
      <c r="E970" t="inlineStr">
        <is>
          <t>Contoso Cloud</t>
        </is>
      </c>
      <c r="F970" t="inlineStr">
        <is>
          <t>Contoso Cloud 2025-06</t>
        </is>
      </c>
      <c r="H970" t="inlineStr">
        <is>
          <t>Vantage Credit Card 3391</t>
        </is>
      </c>
      <c r="I970">
        <f>386.24</f>
        <v/>
      </c>
      <c r="J970">
        <f>23466.32</f>
        <v/>
      </c>
    </row>
    <row r="971">
      <c r="B971" t="inlineStr">
        <is>
          <t>07/02/2025</t>
        </is>
      </c>
      <c r="C971" t="inlineStr">
        <is>
          <t>Credit Card Charge</t>
        </is>
      </c>
      <c r="D971" t="inlineStr"/>
      <c r="E971" t="inlineStr">
        <is>
          <t>Contoso Cloud</t>
        </is>
      </c>
      <c r="F971" t="inlineStr">
        <is>
          <t>Contoso Cloud 2025-07</t>
        </is>
      </c>
      <c r="H971" t="inlineStr">
        <is>
          <t>Vantage Credit Card 3391</t>
        </is>
      </c>
      <c r="I971">
        <f>1141.12</f>
        <v/>
      </c>
      <c r="J971">
        <f>24607.44</f>
        <v/>
      </c>
    </row>
    <row r="972">
      <c r="B972" t="inlineStr">
        <is>
          <t>07/04/2025</t>
        </is>
      </c>
      <c r="C972" t="inlineStr">
        <is>
          <t>Credit Card Charge</t>
        </is>
      </c>
      <c r="D972" t="inlineStr"/>
      <c r="E972" t="inlineStr">
        <is>
          <t>Contoso Cloud</t>
        </is>
      </c>
      <c r="F972" t="inlineStr">
        <is>
          <t>Cloud hosting 2025-07</t>
        </is>
      </c>
      <c r="H972" t="inlineStr">
        <is>
          <t>Vantage Credit Card 3391</t>
        </is>
      </c>
      <c r="I972">
        <f>3120.00</f>
        <v/>
      </c>
      <c r="J972">
        <f>27727.44</f>
        <v/>
      </c>
    </row>
    <row r="973">
      <c r="B973" t="inlineStr">
        <is>
          <t>07/11/2025</t>
        </is>
      </c>
      <c r="C973" t="inlineStr">
        <is>
          <t>Credit Card Charge</t>
        </is>
      </c>
      <c r="D973" t="inlineStr"/>
      <c r="E973" t="inlineStr">
        <is>
          <t>Contoso Cloud</t>
        </is>
      </c>
      <c r="F973" t="inlineStr">
        <is>
          <t>Contoso Cloud 2025-07</t>
        </is>
      </c>
      <c r="H973" t="inlineStr">
        <is>
          <t>Vantage Credit Card 3391</t>
        </is>
      </c>
      <c r="I973">
        <f>865.69</f>
        <v/>
      </c>
      <c r="J973">
        <f>28593.13</f>
        <v/>
      </c>
    </row>
    <row r="974">
      <c r="B974" t="inlineStr">
        <is>
          <t>07/12/2025</t>
        </is>
      </c>
      <c r="C974" t="inlineStr">
        <is>
          <t>Credit Card Charge</t>
        </is>
      </c>
      <c r="D974" t="inlineStr"/>
      <c r="E974" t="inlineStr">
        <is>
          <t>Contoso Cloud</t>
        </is>
      </c>
      <c r="F974" t="inlineStr">
        <is>
          <t>Contoso Cloud 2025-07</t>
        </is>
      </c>
      <c r="H974" t="inlineStr">
        <is>
          <t>Vantage Credit Card 3391</t>
        </is>
      </c>
      <c r="I974">
        <f>1010.22</f>
        <v/>
      </c>
      <c r="J974">
        <f>29603.35</f>
        <v/>
      </c>
    </row>
    <row r="975">
      <c r="A975" t="inlineStr">
        <is>
          <t>Total for 6300 Cloud Hosting</t>
        </is>
      </c>
      <c r="I975">
        <f>29603.35</f>
        <v/>
      </c>
    </row>
    <row r="976"/>
    <row r="977">
      <c r="A977" t="inlineStr">
        <is>
          <t>6400 Rent</t>
        </is>
      </c>
    </row>
    <row r="978">
      <c r="G978" t="inlineStr">
        <is>
          <t>Beginning Balance</t>
        </is>
      </c>
      <c r="J978">
        <f>0.00</f>
        <v/>
      </c>
    </row>
    <row r="979">
      <c r="B979" t="inlineStr">
        <is>
          <t>01/01/2025</t>
        </is>
      </c>
      <c r="C979" t="inlineStr">
        <is>
          <t>Expense</t>
        </is>
      </c>
      <c r="D979" t="inlineStr"/>
      <c r="E979" t="inlineStr">
        <is>
          <t>Wingtip Workspace</t>
        </is>
      </c>
      <c r="F979" t="inlineStr">
        <is>
          <t>Office rent 2025-01</t>
        </is>
      </c>
      <c r="H979" t="inlineStr">
        <is>
          <t>1010 Northgate Checking 7742</t>
        </is>
      </c>
      <c r="I979">
        <f>6500.00</f>
        <v/>
      </c>
      <c r="J979">
        <f>6500.00</f>
        <v/>
      </c>
    </row>
    <row r="980">
      <c r="B980" t="inlineStr">
        <is>
          <t>02/01/2025</t>
        </is>
      </c>
      <c r="C980" t="inlineStr">
        <is>
          <t>Expense</t>
        </is>
      </c>
      <c r="D980" t="inlineStr"/>
      <c r="E980" t="inlineStr">
        <is>
          <t>Wingtip Workspace</t>
        </is>
      </c>
      <c r="F980" t="inlineStr">
        <is>
          <t>Office rent 2025-02</t>
        </is>
      </c>
      <c r="H980" t="inlineStr">
        <is>
          <t>1010 Northgate Checking 7742</t>
        </is>
      </c>
      <c r="I980">
        <f>6500.00</f>
        <v/>
      </c>
      <c r="J980">
        <f>13000.00</f>
        <v/>
      </c>
    </row>
    <row r="981">
      <c r="B981" t="inlineStr">
        <is>
          <t>03/01/2025</t>
        </is>
      </c>
      <c r="C981" t="inlineStr">
        <is>
          <t>Expense</t>
        </is>
      </c>
      <c r="D981" t="inlineStr"/>
      <c r="E981" t="inlineStr">
        <is>
          <t>Wingtip Workspace</t>
        </is>
      </c>
      <c r="F981" t="inlineStr">
        <is>
          <t>Office rent 2025-03</t>
        </is>
      </c>
      <c r="H981" t="inlineStr">
        <is>
          <t>1010 Northgate Checking 7742</t>
        </is>
      </c>
      <c r="I981">
        <f>6500.00</f>
        <v/>
      </c>
      <c r="J981">
        <f>19500.00</f>
        <v/>
      </c>
    </row>
    <row r="982">
      <c r="B982" t="inlineStr">
        <is>
          <t>04/01/2025</t>
        </is>
      </c>
      <c r="C982" t="inlineStr">
        <is>
          <t>Expense</t>
        </is>
      </c>
      <c r="D982" t="inlineStr"/>
      <c r="E982" t="inlineStr">
        <is>
          <t>Wingtip Workspace</t>
        </is>
      </c>
      <c r="F982" t="inlineStr">
        <is>
          <t>Office rent 2025-04</t>
        </is>
      </c>
      <c r="H982" t="inlineStr">
        <is>
          <t>1010 Northgate Checking 7742</t>
        </is>
      </c>
      <c r="I982">
        <f>6500.00</f>
        <v/>
      </c>
      <c r="J982">
        <f>26000.00</f>
        <v/>
      </c>
    </row>
    <row r="983">
      <c r="B983" t="inlineStr">
        <is>
          <t>05/01/2025</t>
        </is>
      </c>
      <c r="C983" t="inlineStr">
        <is>
          <t>Expense</t>
        </is>
      </c>
      <c r="D983" t="inlineStr"/>
      <c r="E983" t="inlineStr">
        <is>
          <t>Wingtip Workspace</t>
        </is>
      </c>
      <c r="F983" t="inlineStr">
        <is>
          <t>Office rent 2025-05</t>
        </is>
      </c>
      <c r="H983" t="inlineStr">
        <is>
          <t>1010 Northgate Checking 7742</t>
        </is>
      </c>
      <c r="I983">
        <f>6500.00</f>
        <v/>
      </c>
      <c r="J983">
        <f>32500.00</f>
        <v/>
      </c>
    </row>
    <row r="984">
      <c r="B984" t="inlineStr">
        <is>
          <t>06/01/2025</t>
        </is>
      </c>
      <c r="C984" t="inlineStr">
        <is>
          <t>Expense</t>
        </is>
      </c>
      <c r="D984" t="inlineStr"/>
      <c r="E984" t="inlineStr">
        <is>
          <t>Wingtip Workspace</t>
        </is>
      </c>
      <c r="F984" t="inlineStr">
        <is>
          <t>Office rent 2025-06</t>
        </is>
      </c>
      <c r="H984" t="inlineStr">
        <is>
          <t>1010 Northgate Checking 7742</t>
        </is>
      </c>
      <c r="I984">
        <f>6500.00</f>
        <v/>
      </c>
      <c r="J984">
        <f>39000.00</f>
        <v/>
      </c>
    </row>
    <row r="985">
      <c r="B985" t="inlineStr">
        <is>
          <t>07/01/2025</t>
        </is>
      </c>
      <c r="C985" t="inlineStr">
        <is>
          <t>Expense</t>
        </is>
      </c>
      <c r="D985" t="inlineStr"/>
      <c r="E985" t="inlineStr">
        <is>
          <t>Wingtip Workspace</t>
        </is>
      </c>
      <c r="F985" t="inlineStr">
        <is>
          <t>Office rent 2025-07</t>
        </is>
      </c>
      <c r="H985" t="inlineStr">
        <is>
          <t>1010 Northgate Checking 7742</t>
        </is>
      </c>
      <c r="I985">
        <f>6500.00</f>
        <v/>
      </c>
      <c r="J985">
        <f>45500.00</f>
        <v/>
      </c>
    </row>
    <row r="986">
      <c r="B986" t="inlineStr">
        <is>
          <t>08/01/2025</t>
        </is>
      </c>
      <c r="C986" t="inlineStr">
        <is>
          <t>Expense</t>
        </is>
      </c>
      <c r="D986" t="inlineStr"/>
      <c r="E986" t="inlineStr">
        <is>
          <t>Wingtip Workspace</t>
        </is>
      </c>
      <c r="F986" t="inlineStr">
        <is>
          <t>Office rent 2025-08</t>
        </is>
      </c>
      <c r="H986" t="inlineStr">
        <is>
          <t>1010 Northgate Checking 7742</t>
        </is>
      </c>
      <c r="I986">
        <f>6500.00</f>
        <v/>
      </c>
      <c r="J986">
        <f>52000.00</f>
        <v/>
      </c>
    </row>
    <row r="987">
      <c r="B987" t="inlineStr">
        <is>
          <t>09/01/2025</t>
        </is>
      </c>
      <c r="C987" t="inlineStr">
        <is>
          <t>Expense</t>
        </is>
      </c>
      <c r="D987" t="inlineStr"/>
      <c r="E987" t="inlineStr">
        <is>
          <t>Wingtip Workspace</t>
        </is>
      </c>
      <c r="F987" t="inlineStr">
        <is>
          <t>Office rent 2025-09</t>
        </is>
      </c>
      <c r="H987" t="inlineStr">
        <is>
          <t>1010 Northgate Checking 7742</t>
        </is>
      </c>
      <c r="I987">
        <f>6500.00</f>
        <v/>
      </c>
      <c r="J987">
        <f>58500.00</f>
        <v/>
      </c>
    </row>
    <row r="988">
      <c r="A988" t="inlineStr">
        <is>
          <t>Total for 6400 Rent</t>
        </is>
      </c>
      <c r="I988">
        <f>58500.00</f>
        <v/>
      </c>
    </row>
    <row r="989"/>
    <row r="990">
      <c r="A990" t="inlineStr">
        <is>
          <t>6500 Insurance</t>
        </is>
      </c>
    </row>
    <row r="991">
      <c r="G991" t="inlineStr">
        <is>
          <t>Beginning Balance</t>
        </is>
      </c>
      <c r="J991">
        <f>0.00</f>
        <v/>
      </c>
    </row>
    <row r="992">
      <c r="B992" t="inlineStr">
        <is>
          <t>01/31/2025</t>
        </is>
      </c>
      <c r="C992" t="inlineStr">
        <is>
          <t>Journal Entry</t>
        </is>
      </c>
      <c r="D992" t="inlineStr">
        <is>
          <t>JE-1003</t>
        </is>
      </c>
      <c r="E992" t="inlineStr">
        <is>
          <t>Adatum Insurance</t>
        </is>
      </c>
      <c r="F992" t="inlineStr">
        <is>
          <t>Insurance 2025-01</t>
        </is>
      </c>
      <c r="H992" t="inlineStr">
        <is>
          <t>1300 Prepaid Insurance</t>
        </is>
      </c>
      <c r="I992">
        <f>1200.00</f>
        <v/>
      </c>
      <c r="J992">
        <f>1200.00</f>
        <v/>
      </c>
    </row>
    <row r="993">
      <c r="B993" t="inlineStr">
        <is>
          <t>02/28/2025</t>
        </is>
      </c>
      <c r="C993" t="inlineStr">
        <is>
          <t>Journal Entry</t>
        </is>
      </c>
      <c r="D993" t="inlineStr">
        <is>
          <t>JE-1006</t>
        </is>
      </c>
      <c r="E993" t="inlineStr">
        <is>
          <t>Adatum Insurance</t>
        </is>
      </c>
      <c r="F993" t="inlineStr">
        <is>
          <t>Insurance 2025-02</t>
        </is>
      </c>
      <c r="H993" t="inlineStr">
        <is>
          <t>1300 Prepaid Insurance</t>
        </is>
      </c>
      <c r="I993">
        <f>1200.00</f>
        <v/>
      </c>
      <c r="J993">
        <f>2400.00</f>
        <v/>
      </c>
    </row>
    <row r="994">
      <c r="B994" t="inlineStr">
        <is>
          <t>03/31/2025</t>
        </is>
      </c>
      <c r="C994" t="inlineStr">
        <is>
          <t>Journal Entry</t>
        </is>
      </c>
      <c r="D994" t="inlineStr">
        <is>
          <t>JE-1010</t>
        </is>
      </c>
      <c r="E994" t="inlineStr">
        <is>
          <t>Adatum Insurance</t>
        </is>
      </c>
      <c r="F994" t="inlineStr">
        <is>
          <t>Insurance 2025-03</t>
        </is>
      </c>
      <c r="H994" t="inlineStr">
        <is>
          <t>1300 Prepaid Insurance</t>
        </is>
      </c>
      <c r="I994">
        <f>1200.00</f>
        <v/>
      </c>
      <c r="J994">
        <f>3600.00</f>
        <v/>
      </c>
    </row>
    <row r="995">
      <c r="B995" t="inlineStr">
        <is>
          <t>04/30/2025</t>
        </is>
      </c>
      <c r="C995" t="inlineStr">
        <is>
          <t>Journal Entry</t>
        </is>
      </c>
      <c r="D995" t="inlineStr">
        <is>
          <t>JE-1015</t>
        </is>
      </c>
      <c r="E995" t="inlineStr">
        <is>
          <t>Adatum Insurance</t>
        </is>
      </c>
      <c r="F995" t="inlineStr">
        <is>
          <t>Insurance 2025-04</t>
        </is>
      </c>
      <c r="H995" t="inlineStr">
        <is>
          <t>1300 Prepaid Insurance</t>
        </is>
      </c>
      <c r="I995">
        <f>1200.00</f>
        <v/>
      </c>
      <c r="J995">
        <f>4800.00</f>
        <v/>
      </c>
    </row>
    <row r="996">
      <c r="B996" t="inlineStr">
        <is>
          <t>05/31/2025</t>
        </is>
      </c>
      <c r="C996" t="inlineStr">
        <is>
          <t>Journal Entry</t>
        </is>
      </c>
      <c r="D996" t="inlineStr">
        <is>
          <t>JE-1020</t>
        </is>
      </c>
      <c r="E996" t="inlineStr">
        <is>
          <t>Adatum Insurance</t>
        </is>
      </c>
      <c r="F996" t="inlineStr">
        <is>
          <t>Insurance 2025-05</t>
        </is>
      </c>
      <c r="H996" t="inlineStr">
        <is>
          <t>1300 Prepaid Insurance</t>
        </is>
      </c>
      <c r="I996">
        <f>1200.00</f>
        <v/>
      </c>
      <c r="J996">
        <f>6000.00</f>
        <v/>
      </c>
    </row>
    <row r="997">
      <c r="B997" t="inlineStr">
        <is>
          <t>06/30/2025</t>
        </is>
      </c>
      <c r="C997" t="inlineStr">
        <is>
          <t>Journal Entry</t>
        </is>
      </c>
      <c r="D997" t="inlineStr">
        <is>
          <t>JE-1025</t>
        </is>
      </c>
      <c r="E997" t="inlineStr">
        <is>
          <t>Adatum Insurance</t>
        </is>
      </c>
      <c r="F997" t="inlineStr">
        <is>
          <t>Insurance 2025-06</t>
        </is>
      </c>
      <c r="H997" t="inlineStr">
        <is>
          <t>1300 Prepaid Insurance</t>
        </is>
      </c>
      <c r="I997">
        <f>1200.00</f>
        <v/>
      </c>
      <c r="J997">
        <f>7200.00</f>
        <v/>
      </c>
    </row>
    <row r="998">
      <c r="A998" t="inlineStr">
        <is>
          <t>Total for 6500 Insurance</t>
        </is>
      </c>
      <c r="I998">
        <f>7200.00</f>
        <v/>
      </c>
    </row>
    <row r="999"/>
    <row r="1000">
      <c r="A1000" t="inlineStr">
        <is>
          <t>6600 Marketing and Advertising</t>
        </is>
      </c>
    </row>
    <row r="1001">
      <c r="G1001" t="inlineStr">
        <is>
          <t>Beginning Balance</t>
        </is>
      </c>
      <c r="J1001">
        <f>0.00</f>
        <v/>
      </c>
    </row>
    <row r="1002">
      <c r="B1002" t="inlineStr">
        <is>
          <t>01/16/2025</t>
        </is>
      </c>
      <c r="C1002" t="inlineStr">
        <is>
          <t>Credit Card Charge</t>
        </is>
      </c>
      <c r="D1002" t="inlineStr"/>
      <c r="E1002" t="inlineStr">
        <is>
          <t>Lumina Ads</t>
        </is>
      </c>
      <c r="F1002" t="inlineStr">
        <is>
          <t>Lumina Ads 2025-01</t>
        </is>
      </c>
      <c r="H1002" t="inlineStr">
        <is>
          <t>2100 Vantage Card 3391</t>
        </is>
      </c>
      <c r="I1002">
        <f>1138.72</f>
        <v/>
      </c>
      <c r="J1002">
        <f>1138.72</f>
        <v/>
      </c>
    </row>
    <row r="1003">
      <c r="B1003" t="inlineStr">
        <is>
          <t>02/18/2025</t>
        </is>
      </c>
      <c r="C1003" t="inlineStr">
        <is>
          <t>Credit Card Charge</t>
        </is>
      </c>
      <c r="D1003" t="inlineStr"/>
      <c r="E1003" t="inlineStr">
        <is>
          <t>Lumina Ads</t>
        </is>
      </c>
      <c r="F1003" t="inlineStr">
        <is>
          <t>Lumina Ads 2025-02</t>
        </is>
      </c>
      <c r="H1003" t="inlineStr">
        <is>
          <t>2100 Vantage Card 3391</t>
        </is>
      </c>
      <c r="I1003">
        <f>2060.34</f>
        <v/>
      </c>
      <c r="J1003">
        <f>3199.06</f>
        <v/>
      </c>
    </row>
    <row r="1004">
      <c r="B1004" t="inlineStr">
        <is>
          <t>02/26/2025</t>
        </is>
      </c>
      <c r="C1004" t="inlineStr">
        <is>
          <t>Expense</t>
        </is>
      </c>
      <c r="D1004" t="inlineStr"/>
      <c r="E1004" t="inlineStr">
        <is>
          <t>Trey Research</t>
        </is>
      </c>
      <c r="F1004" t="inlineStr">
        <is>
          <t>Trey Research monthly engagement</t>
        </is>
      </c>
      <c r="H1004" t="inlineStr">
        <is>
          <t>1010 Northgate Checking 7742</t>
        </is>
      </c>
      <c r="I1004">
        <f>3515.30</f>
        <v/>
      </c>
      <c r="J1004">
        <f>6714.36</f>
        <v/>
      </c>
    </row>
    <row r="1005">
      <c r="B1005" t="inlineStr">
        <is>
          <t>03/13/2025</t>
        </is>
      </c>
      <c r="C1005" t="inlineStr">
        <is>
          <t>Credit Card Charge</t>
        </is>
      </c>
      <c r="D1005" t="inlineStr"/>
      <c r="E1005" t="inlineStr">
        <is>
          <t>Lumina Ads</t>
        </is>
      </c>
      <c r="F1005" t="inlineStr">
        <is>
          <t>Lumina Ads 2025-03</t>
        </is>
      </c>
      <c r="H1005" t="inlineStr">
        <is>
          <t>2100 Vantage Card 3391</t>
        </is>
      </c>
      <c r="I1005">
        <f>1941.58</f>
        <v/>
      </c>
      <c r="J1005">
        <f>8655.94</f>
        <v/>
      </c>
    </row>
    <row r="1006">
      <c r="B1006" t="inlineStr">
        <is>
          <t>03/14/2025</t>
        </is>
      </c>
      <c r="C1006" t="inlineStr">
        <is>
          <t>Credit Card Charge</t>
        </is>
      </c>
      <c r="D1006" t="inlineStr"/>
      <c r="E1006" t="inlineStr">
        <is>
          <t>Lumina Ads</t>
        </is>
      </c>
      <c r="F1006" t="inlineStr">
        <is>
          <t>Lumina Ads 2025-03</t>
        </is>
      </c>
      <c r="H1006" t="inlineStr">
        <is>
          <t>2100 Vantage Card 3391</t>
        </is>
      </c>
      <c r="I1006">
        <f>1151.83</f>
        <v/>
      </c>
      <c r="J1006">
        <f>9807.77</f>
        <v/>
      </c>
    </row>
    <row r="1007">
      <c r="B1007" t="inlineStr">
        <is>
          <t>03/19/2025</t>
        </is>
      </c>
      <c r="C1007" t="inlineStr">
        <is>
          <t>Credit Card Charge</t>
        </is>
      </c>
      <c r="D1007" t="inlineStr"/>
      <c r="E1007" t="inlineStr">
        <is>
          <t>Lumina Ads</t>
        </is>
      </c>
      <c r="F1007" t="inlineStr">
        <is>
          <t>Lumina Ads 2025-03</t>
        </is>
      </c>
      <c r="H1007" t="inlineStr">
        <is>
          <t>2100 Vantage Card 3391</t>
        </is>
      </c>
      <c r="I1007">
        <f>2420.49</f>
        <v/>
      </c>
      <c r="J1007">
        <f>12228.26</f>
        <v/>
      </c>
    </row>
    <row r="1008">
      <c r="B1008" t="inlineStr">
        <is>
          <t>05/07/2025</t>
        </is>
      </c>
      <c r="C1008" t="inlineStr">
        <is>
          <t>Credit Card Charge</t>
        </is>
      </c>
      <c r="D1008" t="inlineStr"/>
      <c r="E1008" t="inlineStr">
        <is>
          <t>Lumina Ads</t>
        </is>
      </c>
      <c r="F1008" t="inlineStr">
        <is>
          <t>Lumina Ads 2025-05</t>
        </is>
      </c>
      <c r="H1008" t="inlineStr">
        <is>
          <t>Vantage Credit Card 3391</t>
        </is>
      </c>
      <c r="I1008">
        <f>1687.65</f>
        <v/>
      </c>
      <c r="J1008">
        <f>13915.91</f>
        <v/>
      </c>
    </row>
    <row r="1009">
      <c r="B1009" t="inlineStr">
        <is>
          <t>05/18/2025</t>
        </is>
      </c>
      <c r="C1009" t="inlineStr">
        <is>
          <t>Expense</t>
        </is>
      </c>
      <c r="D1009" t="inlineStr"/>
      <c r="E1009" t="inlineStr">
        <is>
          <t>Trey Research</t>
        </is>
      </c>
      <c r="F1009" t="inlineStr">
        <is>
          <t>Trey Research monthly engagement</t>
        </is>
      </c>
      <c r="H1009" t="inlineStr">
        <is>
          <t>1010 Northgate Checking 7742</t>
        </is>
      </c>
      <c r="I1009">
        <f>3886.86</f>
        <v/>
      </c>
      <c r="J1009">
        <f>17802.77</f>
        <v/>
      </c>
    </row>
    <row r="1010">
      <c r="B1010" t="inlineStr">
        <is>
          <t>06/21/2025</t>
        </is>
      </c>
      <c r="C1010" t="inlineStr">
        <is>
          <t>Credit Card Charge</t>
        </is>
      </c>
      <c r="D1010" t="inlineStr"/>
      <c r="E1010" t="inlineStr">
        <is>
          <t>Lumina Ads</t>
        </is>
      </c>
      <c r="F1010" t="inlineStr">
        <is>
          <t>Lumina Ads 2025-06</t>
        </is>
      </c>
      <c r="H1010" t="inlineStr">
        <is>
          <t>Vantage Credit Card 3391</t>
        </is>
      </c>
      <c r="I1010">
        <f>1081.70</f>
        <v/>
      </c>
      <c r="J1010">
        <f>18884.47</f>
        <v/>
      </c>
    </row>
    <row r="1011">
      <c r="B1011" t="inlineStr">
        <is>
          <t>06/21/2025</t>
        </is>
      </c>
      <c r="C1011" t="inlineStr">
        <is>
          <t>Credit Card Charge</t>
        </is>
      </c>
      <c r="D1011" t="inlineStr"/>
      <c r="E1011" t="inlineStr">
        <is>
          <t>Lumina Ads</t>
        </is>
      </c>
      <c r="F1011" t="inlineStr">
        <is>
          <t>Lumina Ads 2025-06</t>
        </is>
      </c>
      <c r="H1011" t="inlineStr">
        <is>
          <t>Vantage Credit Card 3391</t>
        </is>
      </c>
      <c r="I1011">
        <f>1383.27</f>
        <v/>
      </c>
      <c r="J1011">
        <f>20267.74</f>
        <v/>
      </c>
    </row>
    <row r="1012">
      <c r="B1012" t="inlineStr">
        <is>
          <t>07/07/2025</t>
        </is>
      </c>
      <c r="C1012" t="inlineStr">
        <is>
          <t>Credit Card Charge</t>
        </is>
      </c>
      <c r="D1012" t="inlineStr"/>
      <c r="E1012" t="inlineStr">
        <is>
          <t>Lumina Ads</t>
        </is>
      </c>
      <c r="F1012" t="inlineStr">
        <is>
          <t>Lumina Ads 2025-07</t>
        </is>
      </c>
      <c r="H1012" t="inlineStr">
        <is>
          <t>Vantage Credit Card 3391</t>
        </is>
      </c>
      <c r="I1012">
        <f>550.57</f>
        <v/>
      </c>
      <c r="J1012">
        <f>20818.31</f>
        <v/>
      </c>
    </row>
    <row r="1013">
      <c r="B1013" t="inlineStr">
        <is>
          <t>07/07/2025</t>
        </is>
      </c>
      <c r="C1013" t="inlineStr">
        <is>
          <t>Credit Card Charge</t>
        </is>
      </c>
      <c r="D1013" t="inlineStr"/>
      <c r="E1013" t="inlineStr">
        <is>
          <t>Lumina Ads</t>
        </is>
      </c>
      <c r="F1013" t="inlineStr">
        <is>
          <t>Lumina Ads 2025-07</t>
        </is>
      </c>
      <c r="H1013" t="inlineStr">
        <is>
          <t>Vantage Credit Card 3391</t>
        </is>
      </c>
      <c r="I1013">
        <f>1784.34</f>
        <v/>
      </c>
      <c r="J1013">
        <f>22602.65</f>
        <v/>
      </c>
    </row>
    <row r="1014">
      <c r="B1014" t="inlineStr">
        <is>
          <t>07/18/2025</t>
        </is>
      </c>
      <c r="C1014" t="inlineStr">
        <is>
          <t>Expense</t>
        </is>
      </c>
      <c r="D1014" t="inlineStr"/>
      <c r="E1014" t="inlineStr">
        <is>
          <t>Trey Research</t>
        </is>
      </c>
      <c r="F1014" t="inlineStr">
        <is>
          <t>Trey Research monthly engagement</t>
        </is>
      </c>
      <c r="H1014" t="inlineStr">
        <is>
          <t>1010 Northgate Checking 7742</t>
        </is>
      </c>
      <c r="I1014">
        <f>2900.42</f>
        <v/>
      </c>
      <c r="J1014">
        <f>25503.07</f>
        <v/>
      </c>
    </row>
    <row r="1015">
      <c r="B1015" t="inlineStr">
        <is>
          <t>09/18/2025</t>
        </is>
      </c>
      <c r="C1015" t="inlineStr">
        <is>
          <t>Expense</t>
        </is>
      </c>
      <c r="D1015" t="inlineStr"/>
      <c r="E1015" t="inlineStr">
        <is>
          <t>Trey Research</t>
        </is>
      </c>
      <c r="F1015" t="inlineStr">
        <is>
          <t>Trey Research monthly engagement</t>
        </is>
      </c>
      <c r="H1015" t="inlineStr">
        <is>
          <t>1010 Northgate Checking 7742</t>
        </is>
      </c>
      <c r="I1015">
        <f>2095.45</f>
        <v/>
      </c>
      <c r="J1015">
        <f>27598.52</f>
        <v/>
      </c>
    </row>
    <row r="1016">
      <c r="A1016" t="inlineStr">
        <is>
          <t>Total for 6600 Marketing and Advertising</t>
        </is>
      </c>
      <c r="I1016">
        <f>27598.52</f>
        <v/>
      </c>
    </row>
    <row r="1017"/>
    <row r="1018">
      <c r="A1018" t="inlineStr">
        <is>
          <t>6700 Office Supplies</t>
        </is>
      </c>
    </row>
    <row r="1019">
      <c r="G1019" t="inlineStr">
        <is>
          <t>Beginning Balance</t>
        </is>
      </c>
      <c r="J1019">
        <f>0.00</f>
        <v/>
      </c>
    </row>
    <row r="1020">
      <c r="B1020" t="inlineStr">
        <is>
          <t>01/18/2025</t>
        </is>
      </c>
      <c r="C1020" t="inlineStr">
        <is>
          <t>Credit Card Charge</t>
        </is>
      </c>
      <c r="D1020" t="inlineStr"/>
      <c r="E1020" t="inlineStr">
        <is>
          <t>Cascade Office</t>
        </is>
      </c>
      <c r="F1020" t="inlineStr">
        <is>
          <t>Cascade Office 2025-01</t>
        </is>
      </c>
      <c r="H1020" t="inlineStr">
        <is>
          <t>2100 Vantage Card 3391</t>
        </is>
      </c>
      <c r="I1020">
        <f>173.16</f>
        <v/>
      </c>
      <c r="J1020">
        <f>173.16</f>
        <v/>
      </c>
    </row>
    <row r="1021">
      <c r="B1021" t="inlineStr">
        <is>
          <t>01/19/2025</t>
        </is>
      </c>
      <c r="C1021" t="inlineStr">
        <is>
          <t>Credit Card Charge</t>
        </is>
      </c>
      <c r="D1021" t="inlineStr"/>
      <c r="E1021" t="inlineStr">
        <is>
          <t>Cascade Office</t>
        </is>
      </c>
      <c r="F1021" t="inlineStr">
        <is>
          <t>Cascade Office 2025-01</t>
        </is>
      </c>
      <c r="H1021" t="inlineStr">
        <is>
          <t>2100 Vantage Card 3391</t>
        </is>
      </c>
      <c r="I1021">
        <f>166.82</f>
        <v/>
      </c>
      <c r="J1021">
        <f>339.98</f>
        <v/>
      </c>
    </row>
    <row r="1022">
      <c r="B1022" t="inlineStr">
        <is>
          <t>02/12/2025</t>
        </is>
      </c>
      <c r="C1022" t="inlineStr">
        <is>
          <t>Credit Card Charge</t>
        </is>
      </c>
      <c r="D1022" t="inlineStr"/>
      <c r="E1022" t="inlineStr">
        <is>
          <t>Cascade Office</t>
        </is>
      </c>
      <c r="F1022" t="inlineStr">
        <is>
          <t>Cascade Office 2025-02</t>
        </is>
      </c>
      <c r="H1022" t="inlineStr">
        <is>
          <t>2100 Vantage Card 3391</t>
        </is>
      </c>
      <c r="I1022">
        <f>324.36</f>
        <v/>
      </c>
      <c r="J1022">
        <f>664.34</f>
        <v/>
      </c>
    </row>
    <row r="1023">
      <c r="B1023" t="inlineStr">
        <is>
          <t>05/22/2025</t>
        </is>
      </c>
      <c r="C1023" t="inlineStr">
        <is>
          <t>Credit Card Charge</t>
        </is>
      </c>
      <c r="D1023" t="inlineStr"/>
      <c r="E1023" t="inlineStr">
        <is>
          <t>Cascade Office</t>
        </is>
      </c>
      <c r="F1023" t="inlineStr">
        <is>
          <t>Cascade Office 2025-05</t>
        </is>
      </c>
      <c r="H1023" t="inlineStr">
        <is>
          <t>Vantage Credit Card 3391</t>
        </is>
      </c>
      <c r="I1023">
        <f>365.70</f>
        <v/>
      </c>
      <c r="J1023">
        <f>1030.04</f>
        <v/>
      </c>
    </row>
    <row r="1024">
      <c r="B1024" t="inlineStr">
        <is>
          <t>05/26/2025</t>
        </is>
      </c>
      <c r="C1024" t="inlineStr">
        <is>
          <t>Credit Card Charge</t>
        </is>
      </c>
      <c r="D1024" t="inlineStr"/>
      <c r="E1024" t="inlineStr">
        <is>
          <t>Cascade Office</t>
        </is>
      </c>
      <c r="F1024" t="inlineStr">
        <is>
          <t>Cascade Office 2025-05</t>
        </is>
      </c>
      <c r="H1024" t="inlineStr">
        <is>
          <t>Vantage Credit Card 3391</t>
        </is>
      </c>
      <c r="I1024">
        <f>44.36</f>
        <v/>
      </c>
      <c r="J1024">
        <f>1074.40</f>
        <v/>
      </c>
    </row>
    <row r="1025">
      <c r="B1025" t="inlineStr">
        <is>
          <t>07/08/2025</t>
        </is>
      </c>
      <c r="C1025" t="inlineStr">
        <is>
          <t>Credit Card Charge</t>
        </is>
      </c>
      <c r="D1025" t="inlineStr"/>
      <c r="E1025" t="inlineStr">
        <is>
          <t>Cascade Office</t>
        </is>
      </c>
      <c r="F1025" t="inlineStr">
        <is>
          <t>Cascade Office 2025-07</t>
        </is>
      </c>
      <c r="H1025" t="inlineStr">
        <is>
          <t>Vantage Credit Card 3391</t>
        </is>
      </c>
      <c r="I1025">
        <f>203.02</f>
        <v/>
      </c>
      <c r="J1025">
        <f>1277.42</f>
        <v/>
      </c>
    </row>
    <row r="1026">
      <c r="B1026" t="inlineStr">
        <is>
          <t>07/09/2025</t>
        </is>
      </c>
      <c r="C1026" t="inlineStr">
        <is>
          <t>Credit Card Charge</t>
        </is>
      </c>
      <c r="D1026" t="inlineStr"/>
      <c r="E1026" t="inlineStr">
        <is>
          <t>Cascade Office</t>
        </is>
      </c>
      <c r="F1026" t="inlineStr">
        <is>
          <t>Cascade Office 2025-07</t>
        </is>
      </c>
      <c r="H1026" t="inlineStr">
        <is>
          <t>Vantage Credit Card 3391</t>
        </is>
      </c>
      <c r="I1026">
        <f>431.71</f>
        <v/>
      </c>
      <c r="J1026">
        <f>1709.13</f>
        <v/>
      </c>
    </row>
    <row r="1027">
      <c r="A1027" t="inlineStr">
        <is>
          <t>Total for 6700 Office Supplies</t>
        </is>
      </c>
      <c r="I1027">
        <f>1709.13</f>
        <v/>
      </c>
    </row>
    <row r="1028"/>
    <row r="1029">
      <c r="A1029" t="inlineStr">
        <is>
          <t>6800 Professional Fees</t>
        </is>
      </c>
    </row>
    <row r="1030">
      <c r="G1030" t="inlineStr">
        <is>
          <t>Beginning Balance</t>
        </is>
      </c>
      <c r="J1030">
        <f>0.00</f>
        <v/>
      </c>
    </row>
    <row r="1031">
      <c r="B1031" t="inlineStr">
        <is>
          <t>01/21/2025</t>
        </is>
      </c>
      <c r="C1031" t="inlineStr">
        <is>
          <t>Expense</t>
        </is>
      </c>
      <c r="D1031" t="inlineStr"/>
      <c r="E1031" t="inlineStr">
        <is>
          <t>Litware Legal</t>
        </is>
      </c>
      <c r="F1031" t="inlineStr">
        <is>
          <t>Litware Legal invoice 22580</t>
        </is>
      </c>
      <c r="H1031" t="inlineStr">
        <is>
          <t>1010 Northgate Checking 7742</t>
        </is>
      </c>
      <c r="I1031">
        <f>806.75</f>
        <v/>
      </c>
      <c r="J1031">
        <f>806.75</f>
        <v/>
      </c>
    </row>
    <row r="1032">
      <c r="B1032" t="inlineStr">
        <is>
          <t>01/26/2025</t>
        </is>
      </c>
      <c r="C1032" t="inlineStr">
        <is>
          <t>Expense</t>
        </is>
      </c>
      <c r="D1032" t="inlineStr"/>
      <c r="E1032" t="inlineStr">
        <is>
          <t>Litware Legal</t>
        </is>
      </c>
      <c r="F1032" t="inlineStr">
        <is>
          <t>Litware Legal invoice 99921</t>
        </is>
      </c>
      <c r="H1032" t="inlineStr">
        <is>
          <t>1010 Northgate Checking 7742</t>
        </is>
      </c>
      <c r="I1032">
        <f>1172.17</f>
        <v/>
      </c>
      <c r="J1032">
        <f>1978.92</f>
        <v/>
      </c>
    </row>
    <row r="1033">
      <c r="B1033" t="inlineStr">
        <is>
          <t>02/13/2025</t>
        </is>
      </c>
      <c r="C1033" t="inlineStr">
        <is>
          <t>Expense</t>
        </is>
      </c>
      <c r="D1033" t="inlineStr"/>
      <c r="E1033" t="inlineStr">
        <is>
          <t>Litware Legal</t>
        </is>
      </c>
      <c r="F1033" t="inlineStr">
        <is>
          <t>Litware Legal invoice 13411</t>
        </is>
      </c>
      <c r="H1033" t="inlineStr">
        <is>
          <t>1010 Northgate Checking 7742</t>
        </is>
      </c>
      <c r="I1033">
        <f>774.88</f>
        <v/>
      </c>
      <c r="J1033">
        <f>2753.80</f>
        <v/>
      </c>
    </row>
    <row r="1034">
      <c r="B1034" t="inlineStr">
        <is>
          <t>02/18/2025</t>
        </is>
      </c>
      <c r="C1034" t="inlineStr">
        <is>
          <t>Expense</t>
        </is>
      </c>
      <c r="D1034" t="inlineStr"/>
      <c r="E1034" t="inlineStr">
        <is>
          <t>Trey Research</t>
        </is>
      </c>
      <c r="F1034" t="inlineStr">
        <is>
          <t>Trey Research monthly engagement</t>
        </is>
      </c>
      <c r="H1034" t="inlineStr">
        <is>
          <t>1010 Northgate Checking 7742</t>
        </is>
      </c>
      <c r="I1034">
        <f>3179.36</f>
        <v/>
      </c>
      <c r="J1034">
        <f>5933.16</f>
        <v/>
      </c>
    </row>
    <row r="1035">
      <c r="B1035" t="inlineStr">
        <is>
          <t>03/20/2025</t>
        </is>
      </c>
      <c r="C1035" t="inlineStr">
        <is>
          <t>Expense</t>
        </is>
      </c>
      <c r="D1035" t="inlineStr"/>
      <c r="E1035" t="inlineStr">
        <is>
          <t>Litware Legal</t>
        </is>
      </c>
      <c r="F1035" t="inlineStr">
        <is>
          <t>Litware Legal invoice 71263</t>
        </is>
      </c>
      <c r="H1035" t="inlineStr">
        <is>
          <t>1010 Northgate Checking 7742</t>
        </is>
      </c>
      <c r="I1035">
        <f>2100.69</f>
        <v/>
      </c>
      <c r="J1035">
        <f>8033.85</f>
        <v/>
      </c>
    </row>
    <row r="1036">
      <c r="B1036" t="inlineStr">
        <is>
          <t>03/27/2025</t>
        </is>
      </c>
      <c r="C1036" t="inlineStr">
        <is>
          <t>Expense</t>
        </is>
      </c>
      <c r="D1036" t="inlineStr"/>
      <c r="E1036" t="inlineStr">
        <is>
          <t>Litware Legal</t>
        </is>
      </c>
      <c r="F1036" t="inlineStr">
        <is>
          <t>Litware Legal invoice 11541</t>
        </is>
      </c>
      <c r="H1036" t="inlineStr">
        <is>
          <t>1010 Northgate Checking 7742</t>
        </is>
      </c>
      <c r="I1036">
        <f>456.28</f>
        <v/>
      </c>
      <c r="J1036">
        <f>8490.13</f>
        <v/>
      </c>
    </row>
    <row r="1037">
      <c r="B1037" t="inlineStr">
        <is>
          <t>04/08/2025</t>
        </is>
      </c>
      <c r="C1037" t="inlineStr">
        <is>
          <t>Expense</t>
        </is>
      </c>
      <c r="D1037" t="inlineStr"/>
      <c r="E1037" t="inlineStr">
        <is>
          <t>Litware Legal</t>
        </is>
      </c>
      <c r="F1037" t="inlineStr">
        <is>
          <t>Litware Legal invoice 86350</t>
        </is>
      </c>
      <c r="H1037" t="inlineStr">
        <is>
          <t>1010 Northgate Checking 7742</t>
        </is>
      </c>
      <c r="I1037">
        <f>1679.17</f>
        <v/>
      </c>
      <c r="J1037">
        <f>10169.30</f>
        <v/>
      </c>
    </row>
    <row r="1038">
      <c r="B1038" t="inlineStr">
        <is>
          <t>04/18/2025</t>
        </is>
      </c>
      <c r="C1038" t="inlineStr">
        <is>
          <t>Expense</t>
        </is>
      </c>
      <c r="D1038" t="inlineStr"/>
      <c r="E1038" t="inlineStr">
        <is>
          <t>Trey Research</t>
        </is>
      </c>
      <c r="F1038" t="inlineStr">
        <is>
          <t>Trey Research monthly engagement</t>
        </is>
      </c>
      <c r="H1038" t="inlineStr">
        <is>
          <t>1010 Northgate Checking 7742</t>
        </is>
      </c>
      <c r="I1038">
        <f>5503.65</f>
        <v/>
      </c>
      <c r="J1038">
        <f>15672.95</f>
        <v/>
      </c>
    </row>
    <row r="1039">
      <c r="B1039" t="inlineStr">
        <is>
          <t>04/26/2025</t>
        </is>
      </c>
      <c r="C1039" t="inlineStr">
        <is>
          <t>Expense</t>
        </is>
      </c>
      <c r="D1039" t="inlineStr"/>
      <c r="E1039" t="inlineStr">
        <is>
          <t>Litware Legal</t>
        </is>
      </c>
      <c r="F1039" t="inlineStr">
        <is>
          <t>Litware Legal invoice 44825</t>
        </is>
      </c>
      <c r="H1039" t="inlineStr">
        <is>
          <t>1010 Northgate Checking 7742</t>
        </is>
      </c>
      <c r="I1039">
        <f>1093.26</f>
        <v/>
      </c>
      <c r="J1039">
        <f>16766.21</f>
        <v/>
      </c>
    </row>
    <row r="1040">
      <c r="B1040" t="inlineStr">
        <is>
          <t>05/10/2025</t>
        </is>
      </c>
      <c r="C1040" t="inlineStr">
        <is>
          <t>Expense</t>
        </is>
      </c>
      <c r="D1040" t="inlineStr"/>
      <c r="E1040" t="inlineStr">
        <is>
          <t>Litware Legal</t>
        </is>
      </c>
      <c r="F1040" t="inlineStr">
        <is>
          <t>Litware Legal invoice 97657</t>
        </is>
      </c>
      <c r="H1040" t="inlineStr">
        <is>
          <t>1010 Northgate Checking 7742</t>
        </is>
      </c>
      <c r="I1040">
        <f>622.05</f>
        <v/>
      </c>
      <c r="J1040">
        <f>17388.26</f>
        <v/>
      </c>
    </row>
    <row r="1041">
      <c r="B1041" t="inlineStr">
        <is>
          <t>05/12/2025</t>
        </is>
      </c>
      <c r="C1041" t="inlineStr">
        <is>
          <t>Expense</t>
        </is>
      </c>
      <c r="D1041" t="inlineStr"/>
      <c r="E1041" t="inlineStr">
        <is>
          <t>Litware Legal</t>
        </is>
      </c>
      <c r="F1041" t="inlineStr">
        <is>
          <t>Litware Legal invoice 19938</t>
        </is>
      </c>
      <c r="H1041" t="inlineStr">
        <is>
          <t>1010 Northgate Checking 7742</t>
        </is>
      </c>
      <c r="I1041">
        <f>2204.70</f>
        <v/>
      </c>
      <c r="J1041">
        <f>19592.96</f>
        <v/>
      </c>
    </row>
    <row r="1042">
      <c r="B1042" t="inlineStr">
        <is>
          <t>05/14/2025</t>
        </is>
      </c>
      <c r="C1042" t="inlineStr">
        <is>
          <t>Expense</t>
        </is>
      </c>
      <c r="D1042" t="inlineStr"/>
      <c r="E1042" t="inlineStr">
        <is>
          <t>Litware Legal</t>
        </is>
      </c>
      <c r="F1042" t="inlineStr">
        <is>
          <t>Litware Legal invoice 58203</t>
        </is>
      </c>
      <c r="H1042" t="inlineStr">
        <is>
          <t>1010 Northgate Checking 7742</t>
        </is>
      </c>
      <c r="I1042">
        <f>1618.44</f>
        <v/>
      </c>
      <c r="J1042">
        <f>21211.40</f>
        <v/>
      </c>
    </row>
    <row r="1043">
      <c r="B1043" t="inlineStr">
        <is>
          <t>05/22/2025</t>
        </is>
      </c>
      <c r="C1043" t="inlineStr">
        <is>
          <t>Expense</t>
        </is>
      </c>
      <c r="D1043" t="inlineStr"/>
      <c r="E1043" t="inlineStr">
        <is>
          <t>Litware Legal</t>
        </is>
      </c>
      <c r="F1043" t="inlineStr">
        <is>
          <t>Litware Legal invoice 14994</t>
        </is>
      </c>
      <c r="H1043" t="inlineStr">
        <is>
          <t>1010 Northgate Checking 7742</t>
        </is>
      </c>
      <c r="I1043">
        <f>2579.80</f>
        <v/>
      </c>
      <c r="J1043">
        <f>23791.20</f>
        <v/>
      </c>
    </row>
    <row r="1044">
      <c r="B1044" t="inlineStr">
        <is>
          <t>06/11/2025</t>
        </is>
      </c>
      <c r="C1044" t="inlineStr">
        <is>
          <t>Expense</t>
        </is>
      </c>
      <c r="D1044" t="inlineStr"/>
      <c r="E1044" t="inlineStr">
        <is>
          <t>Litware Legal</t>
        </is>
      </c>
      <c r="F1044" t="inlineStr">
        <is>
          <t>Litware Legal invoice 91664</t>
        </is>
      </c>
      <c r="H1044" t="inlineStr">
        <is>
          <t>1010 Northgate Checking 7742</t>
        </is>
      </c>
      <c r="I1044">
        <f>2282.01</f>
        <v/>
      </c>
      <c r="J1044">
        <f>26073.21</f>
        <v/>
      </c>
    </row>
    <row r="1045">
      <c r="B1045" t="inlineStr">
        <is>
          <t>06/12/2025</t>
        </is>
      </c>
      <c r="C1045" t="inlineStr">
        <is>
          <t>Expense</t>
        </is>
      </c>
      <c r="D1045" t="inlineStr"/>
      <c r="E1045" t="inlineStr">
        <is>
          <t>Litware Legal</t>
        </is>
      </c>
      <c r="F1045" t="inlineStr">
        <is>
          <t>Litware Legal invoice 15758</t>
        </is>
      </c>
      <c r="H1045" t="inlineStr">
        <is>
          <t>1010 Northgate Checking 7742</t>
        </is>
      </c>
      <c r="I1045">
        <f>2165.80</f>
        <v/>
      </c>
      <c r="J1045">
        <f>28239.01</f>
        <v/>
      </c>
    </row>
    <row r="1046">
      <c r="B1046" t="inlineStr">
        <is>
          <t>06/13/2025</t>
        </is>
      </c>
      <c r="C1046" t="inlineStr">
        <is>
          <t>Expense</t>
        </is>
      </c>
      <c r="D1046" t="inlineStr"/>
      <c r="E1046" t="inlineStr">
        <is>
          <t>Litware Legal</t>
        </is>
      </c>
      <c r="F1046" t="inlineStr">
        <is>
          <t>Litware Legal invoice 91439</t>
        </is>
      </c>
      <c r="H1046" t="inlineStr">
        <is>
          <t>1010 Northgate Checking 7742</t>
        </is>
      </c>
      <c r="I1046">
        <f>2298.77</f>
        <v/>
      </c>
      <c r="J1046">
        <f>30537.78</f>
        <v/>
      </c>
    </row>
    <row r="1047">
      <c r="B1047" t="inlineStr">
        <is>
          <t>06/15/2025</t>
        </is>
      </c>
      <c r="C1047" t="inlineStr">
        <is>
          <t>Expense</t>
        </is>
      </c>
      <c r="D1047" t="inlineStr"/>
      <c r="E1047" t="inlineStr">
        <is>
          <t>Litware Legal</t>
        </is>
      </c>
      <c r="F1047" t="inlineStr">
        <is>
          <t>Litware Legal invoice 27303</t>
        </is>
      </c>
      <c r="H1047" t="inlineStr">
        <is>
          <t>1010 Northgate Checking 7742</t>
        </is>
      </c>
      <c r="I1047">
        <f>2202.73</f>
        <v/>
      </c>
      <c r="J1047">
        <f>32740.51</f>
        <v/>
      </c>
    </row>
    <row r="1048">
      <c r="B1048" t="inlineStr">
        <is>
          <t>06/18/2025</t>
        </is>
      </c>
      <c r="C1048" t="inlineStr">
        <is>
          <t>Expense</t>
        </is>
      </c>
      <c r="D1048" t="inlineStr"/>
      <c r="E1048" t="inlineStr">
        <is>
          <t>Trey Research</t>
        </is>
      </c>
      <c r="F1048" t="inlineStr">
        <is>
          <t>Trey Research monthly engagement</t>
        </is>
      </c>
      <c r="H1048" t="inlineStr">
        <is>
          <t>1010 Northgate Checking 7742</t>
        </is>
      </c>
      <c r="I1048">
        <f>5969.02</f>
        <v/>
      </c>
      <c r="J1048">
        <f>38709.53</f>
        <v/>
      </c>
    </row>
    <row r="1049">
      <c r="B1049" t="inlineStr">
        <is>
          <t>06/26/2025</t>
        </is>
      </c>
      <c r="C1049" t="inlineStr">
        <is>
          <t>Expense</t>
        </is>
      </c>
      <c r="D1049" t="inlineStr"/>
      <c r="E1049" t="inlineStr">
        <is>
          <t>Litware Legal</t>
        </is>
      </c>
      <c r="F1049" t="inlineStr">
        <is>
          <t>Litware Legal invoice 81516</t>
        </is>
      </c>
      <c r="H1049" t="inlineStr">
        <is>
          <t>1010 Northgate Checking 7742</t>
        </is>
      </c>
      <c r="I1049">
        <f>577.43</f>
        <v/>
      </c>
      <c r="J1049">
        <f>39286.96</f>
        <v/>
      </c>
    </row>
    <row r="1050">
      <c r="B1050" t="inlineStr">
        <is>
          <t>07/02/2025</t>
        </is>
      </c>
      <c r="C1050" t="inlineStr">
        <is>
          <t>Expense</t>
        </is>
      </c>
      <c r="D1050" t="inlineStr"/>
      <c r="E1050" t="inlineStr">
        <is>
          <t>Litware Legal</t>
        </is>
      </c>
      <c r="F1050" t="inlineStr">
        <is>
          <t>Litware Legal invoice 33976</t>
        </is>
      </c>
      <c r="H1050" t="inlineStr">
        <is>
          <t>1010 Northgate Checking 7742</t>
        </is>
      </c>
      <c r="I1050">
        <f>2318.42</f>
        <v/>
      </c>
      <c r="J1050">
        <f>41605.38</f>
        <v/>
      </c>
    </row>
    <row r="1051">
      <c r="B1051" t="inlineStr">
        <is>
          <t>07/13/2025</t>
        </is>
      </c>
      <c r="C1051" t="inlineStr">
        <is>
          <t>Expense</t>
        </is>
      </c>
      <c r="D1051" t="inlineStr"/>
      <c r="E1051" t="inlineStr">
        <is>
          <t>Litware Legal</t>
        </is>
      </c>
      <c r="F1051" t="inlineStr">
        <is>
          <t>Litware Legal invoice 30501</t>
        </is>
      </c>
      <c r="H1051" t="inlineStr">
        <is>
          <t>1010 Northgate Checking 7742</t>
        </is>
      </c>
      <c r="I1051">
        <f>873.19</f>
        <v/>
      </c>
      <c r="J1051">
        <f>42478.57</f>
        <v/>
      </c>
    </row>
    <row r="1052">
      <c r="B1052" t="inlineStr">
        <is>
          <t>07/23/2025</t>
        </is>
      </c>
      <c r="C1052" t="inlineStr">
        <is>
          <t>Expense</t>
        </is>
      </c>
      <c r="D1052" t="inlineStr"/>
      <c r="E1052" t="inlineStr">
        <is>
          <t>Litware Legal</t>
        </is>
      </c>
      <c r="F1052" t="inlineStr">
        <is>
          <t>Litware Legal invoice 13137</t>
        </is>
      </c>
      <c r="H1052" t="inlineStr">
        <is>
          <t>1010 Northgate Checking 7742</t>
        </is>
      </c>
      <c r="I1052">
        <f>1389.81</f>
        <v/>
      </c>
      <c r="J1052">
        <f>43868.38</f>
        <v/>
      </c>
    </row>
    <row r="1053">
      <c r="B1053" t="inlineStr">
        <is>
          <t>08/03/2025</t>
        </is>
      </c>
      <c r="C1053" t="inlineStr">
        <is>
          <t>Expense</t>
        </is>
      </c>
      <c r="D1053" t="inlineStr"/>
      <c r="E1053" t="inlineStr">
        <is>
          <t>Litware Legal</t>
        </is>
      </c>
      <c r="F1053" t="inlineStr">
        <is>
          <t>Litware Legal invoice 91552</t>
        </is>
      </c>
      <c r="H1053" t="inlineStr">
        <is>
          <t>1010 Northgate Checking 7742</t>
        </is>
      </c>
      <c r="I1053">
        <f>498.28</f>
        <v/>
      </c>
      <c r="J1053">
        <f>44366.66</f>
        <v/>
      </c>
    </row>
    <row r="1054">
      <c r="B1054" t="inlineStr">
        <is>
          <t>08/06/2025</t>
        </is>
      </c>
      <c r="C1054" t="inlineStr">
        <is>
          <t>Expense</t>
        </is>
      </c>
      <c r="D1054" t="inlineStr"/>
      <c r="E1054" t="inlineStr">
        <is>
          <t>Litware Legal</t>
        </is>
      </c>
      <c r="F1054" t="inlineStr">
        <is>
          <t>Litware Legal invoice 88620</t>
        </is>
      </c>
      <c r="H1054" t="inlineStr">
        <is>
          <t>1010 Northgate Checking 7742</t>
        </is>
      </c>
      <c r="I1054">
        <f>379.68</f>
        <v/>
      </c>
      <c r="J1054">
        <f>44746.34</f>
        <v/>
      </c>
    </row>
    <row r="1055">
      <c r="B1055" t="inlineStr">
        <is>
          <t>08/13/2025</t>
        </is>
      </c>
      <c r="C1055" t="inlineStr">
        <is>
          <t>Expense</t>
        </is>
      </c>
      <c r="D1055" t="inlineStr"/>
      <c r="E1055" t="inlineStr">
        <is>
          <t>Litware Legal</t>
        </is>
      </c>
      <c r="F1055" t="inlineStr">
        <is>
          <t>Litware Legal invoice 52958</t>
        </is>
      </c>
      <c r="H1055" t="inlineStr">
        <is>
          <t>1010 Northgate Checking 7742</t>
        </is>
      </c>
      <c r="I1055">
        <f>454.86</f>
        <v/>
      </c>
      <c r="J1055">
        <f>45201.20</f>
        <v/>
      </c>
    </row>
    <row r="1056">
      <c r="B1056" t="inlineStr">
        <is>
          <t>08/26/2025</t>
        </is>
      </c>
      <c r="C1056" t="inlineStr">
        <is>
          <t>Expense</t>
        </is>
      </c>
      <c r="D1056" t="inlineStr"/>
      <c r="E1056" t="inlineStr">
        <is>
          <t>Trey Research</t>
        </is>
      </c>
      <c r="F1056" t="inlineStr">
        <is>
          <t>Trey Research monthly engagement</t>
        </is>
      </c>
      <c r="H1056" t="inlineStr">
        <is>
          <t>1010 Northgate Checking 7742</t>
        </is>
      </c>
      <c r="I1056">
        <f>2278.70</f>
        <v/>
      </c>
      <c r="J1056">
        <f>47479.90</f>
        <v/>
      </c>
    </row>
    <row r="1057">
      <c r="B1057" t="inlineStr">
        <is>
          <t>09/02/2025</t>
        </is>
      </c>
      <c r="C1057" t="inlineStr">
        <is>
          <t>Expense</t>
        </is>
      </c>
      <c r="D1057" t="inlineStr"/>
      <c r="E1057" t="inlineStr">
        <is>
          <t>Litware Legal</t>
        </is>
      </c>
      <c r="F1057" t="inlineStr">
        <is>
          <t>Litware Legal invoice 13708</t>
        </is>
      </c>
      <c r="H1057" t="inlineStr">
        <is>
          <t>1010 Northgate Checking 7742</t>
        </is>
      </c>
      <c r="I1057">
        <f>1701.17</f>
        <v/>
      </c>
      <c r="J1057">
        <f>49181.07</f>
        <v/>
      </c>
    </row>
    <row r="1058">
      <c r="B1058" t="inlineStr">
        <is>
          <t>09/07/2025</t>
        </is>
      </c>
      <c r="C1058" t="inlineStr">
        <is>
          <t>Expense</t>
        </is>
      </c>
      <c r="D1058" t="inlineStr"/>
      <c r="E1058" t="inlineStr">
        <is>
          <t>Litware Legal</t>
        </is>
      </c>
      <c r="F1058" t="inlineStr">
        <is>
          <t>Litware Legal invoice 20791</t>
        </is>
      </c>
      <c r="H1058" t="inlineStr">
        <is>
          <t>1010 Northgate Checking 7742</t>
        </is>
      </c>
      <c r="I1058">
        <f>974.73</f>
        <v/>
      </c>
      <c r="J1058">
        <f>50155.80</f>
        <v/>
      </c>
    </row>
    <row r="1059">
      <c r="B1059" t="inlineStr">
        <is>
          <t>09/11/2025</t>
        </is>
      </c>
      <c r="C1059" t="inlineStr">
        <is>
          <t>Expense</t>
        </is>
      </c>
      <c r="D1059" t="inlineStr"/>
      <c r="E1059" t="inlineStr">
        <is>
          <t>Litware Legal</t>
        </is>
      </c>
      <c r="F1059" t="inlineStr">
        <is>
          <t>Litware Legal invoice 15076</t>
        </is>
      </c>
      <c r="H1059" t="inlineStr">
        <is>
          <t>1010 Northgate Checking 7742</t>
        </is>
      </c>
      <c r="I1059">
        <f>462.80</f>
        <v/>
      </c>
      <c r="J1059">
        <f>50618.60</f>
        <v/>
      </c>
    </row>
    <row r="1060">
      <c r="B1060" t="inlineStr">
        <is>
          <t>09/14/2025</t>
        </is>
      </c>
      <c r="C1060" t="inlineStr">
        <is>
          <t>Expense</t>
        </is>
      </c>
      <c r="D1060" t="inlineStr"/>
      <c r="E1060" t="inlineStr">
        <is>
          <t>Litware Legal</t>
        </is>
      </c>
      <c r="F1060" t="inlineStr">
        <is>
          <t>Litware Legal invoice 59115</t>
        </is>
      </c>
      <c r="H1060" t="inlineStr">
        <is>
          <t>1010 Northgate Checking 7742</t>
        </is>
      </c>
      <c r="I1060">
        <f>1064.74</f>
        <v/>
      </c>
      <c r="J1060">
        <f>51683.34</f>
        <v/>
      </c>
    </row>
    <row r="1061">
      <c r="B1061" t="inlineStr">
        <is>
          <t>09/24/2025</t>
        </is>
      </c>
      <c r="C1061" t="inlineStr">
        <is>
          <t>Expense</t>
        </is>
      </c>
      <c r="D1061" t="inlineStr"/>
      <c r="E1061" t="inlineStr">
        <is>
          <t>Litware Legal</t>
        </is>
      </c>
      <c r="F1061" t="inlineStr">
        <is>
          <t>Litware Legal invoice 31324</t>
        </is>
      </c>
      <c r="H1061" t="inlineStr">
        <is>
          <t>1010 Northgate Checking 7742</t>
        </is>
      </c>
      <c r="I1061">
        <f>2330.08</f>
        <v/>
      </c>
      <c r="J1061">
        <f>54013.42</f>
        <v/>
      </c>
    </row>
    <row r="1062">
      <c r="A1062" t="inlineStr">
        <is>
          <t>Total for 6800 Professional Fees</t>
        </is>
      </c>
      <c r="I1062">
        <f>54013.42</f>
        <v/>
      </c>
    </row>
    <row r="1063"/>
    <row r="1064">
      <c r="A1064" t="inlineStr">
        <is>
          <t>6900 Travel and Meals</t>
        </is>
      </c>
    </row>
    <row r="1065">
      <c r="G1065" t="inlineStr">
        <is>
          <t>Beginning Balance</t>
        </is>
      </c>
      <c r="J1065">
        <f>0.00</f>
        <v/>
      </c>
    </row>
    <row r="1066">
      <c r="B1066" t="inlineStr">
        <is>
          <t>02/04/2025</t>
        </is>
      </c>
      <c r="C1066" t="inlineStr">
        <is>
          <t>Credit Card Charge</t>
        </is>
      </c>
      <c r="D1066" t="inlineStr"/>
      <c r="E1066" t="inlineStr">
        <is>
          <t>Skyward Air</t>
        </is>
      </c>
      <c r="F1066" t="inlineStr">
        <is>
          <t>Skyward Air 2025-02</t>
        </is>
      </c>
      <c r="H1066" t="inlineStr">
        <is>
          <t>2100 Vantage Card 3391</t>
        </is>
      </c>
      <c r="I1066">
        <f>756.86</f>
        <v/>
      </c>
      <c r="J1066">
        <f>756.86</f>
        <v/>
      </c>
    </row>
    <row r="1067">
      <c r="B1067" t="inlineStr">
        <is>
          <t>02/25/2025</t>
        </is>
      </c>
      <c r="C1067" t="inlineStr">
        <is>
          <t>Credit Card Charge</t>
        </is>
      </c>
      <c r="D1067" t="inlineStr"/>
      <c r="E1067" t="inlineStr">
        <is>
          <t>Skyward Air</t>
        </is>
      </c>
      <c r="F1067" t="inlineStr">
        <is>
          <t>Skyward Air 2025-02</t>
        </is>
      </c>
      <c r="H1067" t="inlineStr">
        <is>
          <t>2100 Vantage Card 3391</t>
        </is>
      </c>
      <c r="I1067">
        <f>921.15</f>
        <v/>
      </c>
      <c r="J1067">
        <f>1678.01</f>
        <v/>
      </c>
    </row>
    <row r="1068">
      <c r="B1068" t="inlineStr">
        <is>
          <t>03/21/2025</t>
        </is>
      </c>
      <c r="C1068" t="inlineStr">
        <is>
          <t>Credit Card Charge</t>
        </is>
      </c>
      <c r="D1068" t="inlineStr"/>
      <c r="E1068" t="inlineStr">
        <is>
          <t>Skyward Air</t>
        </is>
      </c>
      <c r="F1068" t="inlineStr">
        <is>
          <t>Skyward Air 2025-03</t>
        </is>
      </c>
      <c r="H1068" t="inlineStr">
        <is>
          <t>2100 Vantage Card 3391</t>
        </is>
      </c>
      <c r="I1068">
        <f>490.39</f>
        <v/>
      </c>
      <c r="J1068">
        <f>2168.40</f>
        <v/>
      </c>
    </row>
    <row r="1069">
      <c r="B1069" t="inlineStr">
        <is>
          <t>03/26/2025</t>
        </is>
      </c>
      <c r="C1069" t="inlineStr">
        <is>
          <t>Credit Card Charge</t>
        </is>
      </c>
      <c r="D1069" t="inlineStr"/>
      <c r="E1069" t="inlineStr">
        <is>
          <t>Skyward Air</t>
        </is>
      </c>
      <c r="F1069" t="inlineStr">
        <is>
          <t>Skyward Air 2025-03</t>
        </is>
      </c>
      <c r="H1069" t="inlineStr">
        <is>
          <t>2100 Vantage Card 3391</t>
        </is>
      </c>
      <c r="I1069">
        <f>447.50</f>
        <v/>
      </c>
      <c r="J1069">
        <f>2615.90</f>
        <v/>
      </c>
    </row>
    <row r="1070">
      <c r="B1070" t="inlineStr">
        <is>
          <t>03/27/2025</t>
        </is>
      </c>
      <c r="C1070" t="inlineStr">
        <is>
          <t>Credit Card Charge</t>
        </is>
      </c>
      <c r="D1070" t="inlineStr"/>
      <c r="E1070" t="inlineStr">
        <is>
          <t>Harbor Diner</t>
        </is>
      </c>
      <c r="F1070" t="inlineStr">
        <is>
          <t>Harbor Diner 2025-03</t>
        </is>
      </c>
      <c r="H1070" t="inlineStr">
        <is>
          <t>2100 Vantage Card 3391</t>
        </is>
      </c>
      <c r="I1070">
        <f>95.19</f>
        <v/>
      </c>
      <c r="J1070">
        <f>2711.09</f>
        <v/>
      </c>
    </row>
    <row r="1071">
      <c r="B1071" t="inlineStr">
        <is>
          <t>04/06/2025</t>
        </is>
      </c>
      <c r="C1071" t="inlineStr">
        <is>
          <t>Credit Card Charge</t>
        </is>
      </c>
      <c r="D1071" t="inlineStr"/>
      <c r="E1071" t="inlineStr">
        <is>
          <t>Harbor Diner</t>
        </is>
      </c>
      <c r="F1071" t="inlineStr">
        <is>
          <t>Harbor Diner 2025-04</t>
        </is>
      </c>
      <c r="H1071" t="inlineStr">
        <is>
          <t>2100 Vantage Card 3391</t>
        </is>
      </c>
      <c r="I1071">
        <f>168.82</f>
        <v/>
      </c>
      <c r="J1071">
        <f>2879.91</f>
        <v/>
      </c>
    </row>
    <row r="1072">
      <c r="B1072" t="inlineStr">
        <is>
          <t>04/06/2025</t>
        </is>
      </c>
      <c r="C1072" t="inlineStr">
        <is>
          <t>Credit Card Charge</t>
        </is>
      </c>
      <c r="D1072" t="inlineStr"/>
      <c r="E1072" t="inlineStr">
        <is>
          <t>Metro Rideshare</t>
        </is>
      </c>
      <c r="F1072" t="inlineStr">
        <is>
          <t>Metro Rideshare 2025-04</t>
        </is>
      </c>
      <c r="H1072" t="inlineStr">
        <is>
          <t>2100 Vantage Card 3391</t>
        </is>
      </c>
      <c r="I1072">
        <f>73.67</f>
        <v/>
      </c>
      <c r="J1072">
        <f>2953.58</f>
        <v/>
      </c>
    </row>
    <row r="1073">
      <c r="B1073" t="inlineStr">
        <is>
          <t>04/07/2025</t>
        </is>
      </c>
      <c r="C1073" t="inlineStr">
        <is>
          <t>Credit Card Charge</t>
        </is>
      </c>
      <c r="D1073" t="inlineStr"/>
      <c r="E1073" t="inlineStr">
        <is>
          <t>Skyward Air</t>
        </is>
      </c>
      <c r="F1073" t="inlineStr">
        <is>
          <t>Skyward Air 2025-04</t>
        </is>
      </c>
      <c r="H1073" t="inlineStr">
        <is>
          <t>2100 Vantage Card 3391</t>
        </is>
      </c>
      <c r="I1073">
        <f>537.26</f>
        <v/>
      </c>
      <c r="J1073">
        <f>3490.84</f>
        <v/>
      </c>
    </row>
    <row r="1074">
      <c r="B1074" t="inlineStr">
        <is>
          <t>05/03/2025</t>
        </is>
      </c>
      <c r="C1074" t="inlineStr">
        <is>
          <t>Credit Card Charge</t>
        </is>
      </c>
      <c r="D1074" t="inlineStr"/>
      <c r="E1074" t="inlineStr">
        <is>
          <t>Skyward Air</t>
        </is>
      </c>
      <c r="F1074" t="inlineStr">
        <is>
          <t>Skyward Air 2025-05</t>
        </is>
      </c>
      <c r="H1074" t="inlineStr">
        <is>
          <t>Vantage Credit Card 3391</t>
        </is>
      </c>
      <c r="I1074">
        <f>291.10</f>
        <v/>
      </c>
      <c r="J1074">
        <f>3781.94</f>
        <v/>
      </c>
    </row>
    <row r="1075">
      <c r="B1075" t="inlineStr">
        <is>
          <t>05/17/2025</t>
        </is>
      </c>
      <c r="C1075" t="inlineStr">
        <is>
          <t>Credit Card Charge</t>
        </is>
      </c>
      <c r="D1075" t="inlineStr"/>
      <c r="E1075" t="inlineStr">
        <is>
          <t>Metro Rideshare</t>
        </is>
      </c>
      <c r="F1075" t="inlineStr">
        <is>
          <t>Metro Rideshare 2025-05</t>
        </is>
      </c>
      <c r="H1075" t="inlineStr">
        <is>
          <t>Vantage Credit Card 3391</t>
        </is>
      </c>
      <c r="I1075">
        <f>26.85</f>
        <v/>
      </c>
      <c r="J1075">
        <f>3808.79</f>
        <v/>
      </c>
    </row>
    <row r="1076">
      <c r="B1076" t="inlineStr">
        <is>
          <t>05/18/2025</t>
        </is>
      </c>
      <c r="C1076" t="inlineStr">
        <is>
          <t>Credit Card Charge</t>
        </is>
      </c>
      <c r="D1076" t="inlineStr"/>
      <c r="E1076" t="inlineStr">
        <is>
          <t>Harbor Diner</t>
        </is>
      </c>
      <c r="F1076" t="inlineStr">
        <is>
          <t>Harbor Diner 2025-05</t>
        </is>
      </c>
      <c r="H1076" t="inlineStr">
        <is>
          <t>Vantage Credit Card 3391</t>
        </is>
      </c>
      <c r="I1076">
        <f>146.21</f>
        <v/>
      </c>
      <c r="J1076">
        <f>3955.00</f>
        <v/>
      </c>
    </row>
    <row r="1077">
      <c r="B1077" t="inlineStr">
        <is>
          <t>05/23/2025</t>
        </is>
      </c>
      <c r="C1077" t="inlineStr">
        <is>
          <t>Credit Card Charge</t>
        </is>
      </c>
      <c r="D1077" t="inlineStr"/>
      <c r="E1077" t="inlineStr">
        <is>
          <t>Metro Rideshare</t>
        </is>
      </c>
      <c r="F1077" t="inlineStr">
        <is>
          <t>Metro Rideshare 2025-05</t>
        </is>
      </c>
      <c r="H1077" t="inlineStr">
        <is>
          <t>Vantage Credit Card 3391</t>
        </is>
      </c>
      <c r="I1077">
        <f>71.91</f>
        <v/>
      </c>
      <c r="J1077">
        <f>4026.91</f>
        <v/>
      </c>
    </row>
    <row r="1078">
      <c r="B1078" t="inlineStr">
        <is>
          <t>05/24/2025</t>
        </is>
      </c>
      <c r="C1078" t="inlineStr">
        <is>
          <t>Credit Card Charge</t>
        </is>
      </c>
      <c r="D1078" t="inlineStr"/>
      <c r="E1078" t="inlineStr">
        <is>
          <t>Skyward Air</t>
        </is>
      </c>
      <c r="F1078" t="inlineStr">
        <is>
          <t>Skyward Air 2025-05</t>
        </is>
      </c>
      <c r="H1078" t="inlineStr">
        <is>
          <t>Vantage Credit Card 3391</t>
        </is>
      </c>
      <c r="I1078">
        <f>660.14</f>
        <v/>
      </c>
      <c r="J1078">
        <f>4687.05</f>
        <v/>
      </c>
    </row>
    <row r="1079">
      <c r="B1079" t="inlineStr">
        <is>
          <t>05/25/2025</t>
        </is>
      </c>
      <c r="C1079" t="inlineStr">
        <is>
          <t>Credit Card Charge</t>
        </is>
      </c>
      <c r="D1079" t="inlineStr"/>
      <c r="E1079" t="inlineStr">
        <is>
          <t>Metro Rideshare</t>
        </is>
      </c>
      <c r="F1079" t="inlineStr">
        <is>
          <t>Metro Rideshare 2025-05</t>
        </is>
      </c>
      <c r="H1079" t="inlineStr">
        <is>
          <t>Vantage Credit Card 3391</t>
        </is>
      </c>
      <c r="I1079">
        <f>55.91</f>
        <v/>
      </c>
      <c r="J1079">
        <f>4742.96</f>
        <v/>
      </c>
    </row>
    <row r="1080">
      <c r="B1080" t="inlineStr">
        <is>
          <t>06/03/2025</t>
        </is>
      </c>
      <c r="C1080" t="inlineStr">
        <is>
          <t>Credit Card Charge</t>
        </is>
      </c>
      <c r="D1080" t="inlineStr"/>
      <c r="E1080" t="inlineStr">
        <is>
          <t>Metro Rideshare</t>
        </is>
      </c>
      <c r="F1080" t="inlineStr">
        <is>
          <t>Metro Rideshare 2025-06</t>
        </is>
      </c>
      <c r="H1080" t="inlineStr">
        <is>
          <t>Vantage Credit Card 3391</t>
        </is>
      </c>
      <c r="I1080">
        <f>22.00</f>
        <v/>
      </c>
      <c r="J1080">
        <f>4764.96</f>
        <v/>
      </c>
    </row>
    <row r="1081">
      <c r="B1081" t="inlineStr">
        <is>
          <t>06/03/2025</t>
        </is>
      </c>
      <c r="C1081" t="inlineStr">
        <is>
          <t>Credit Card Charge</t>
        </is>
      </c>
      <c r="D1081" t="inlineStr"/>
      <c r="E1081" t="inlineStr">
        <is>
          <t>Metro Rideshare</t>
        </is>
      </c>
      <c r="F1081" t="inlineStr">
        <is>
          <t>Metro Rideshare 2025-06</t>
        </is>
      </c>
      <c r="H1081" t="inlineStr">
        <is>
          <t>Vantage Credit Card 3391</t>
        </is>
      </c>
      <c r="I1081">
        <f>37.64</f>
        <v/>
      </c>
      <c r="J1081">
        <f>4802.60</f>
        <v/>
      </c>
    </row>
    <row r="1082">
      <c r="B1082" t="inlineStr">
        <is>
          <t>06/05/2025</t>
        </is>
      </c>
      <c r="C1082" t="inlineStr">
        <is>
          <t>Credit Card Charge</t>
        </is>
      </c>
      <c r="D1082" t="inlineStr"/>
      <c r="E1082" t="inlineStr">
        <is>
          <t>Skyward Air</t>
        </is>
      </c>
      <c r="F1082" t="inlineStr">
        <is>
          <t>Skyward Air 2025-06</t>
        </is>
      </c>
      <c r="H1082" t="inlineStr">
        <is>
          <t>Vantage Credit Card 3391</t>
        </is>
      </c>
      <c r="I1082">
        <f>824.11</f>
        <v/>
      </c>
      <c r="J1082">
        <f>5626.71</f>
        <v/>
      </c>
    </row>
    <row r="1083">
      <c r="B1083" t="inlineStr">
        <is>
          <t>06/10/2025</t>
        </is>
      </c>
      <c r="C1083" t="inlineStr">
        <is>
          <t>Credit Card Charge</t>
        </is>
      </c>
      <c r="D1083" t="inlineStr"/>
      <c r="E1083" t="inlineStr">
        <is>
          <t>Harbor Diner</t>
        </is>
      </c>
      <c r="F1083" t="inlineStr">
        <is>
          <t>Harbor Diner 2025-06</t>
        </is>
      </c>
      <c r="H1083" t="inlineStr">
        <is>
          <t>Vantage Credit Card 3391</t>
        </is>
      </c>
      <c r="I1083">
        <f>96.46</f>
        <v/>
      </c>
      <c r="J1083">
        <f>5723.17</f>
        <v/>
      </c>
    </row>
    <row r="1084">
      <c r="B1084" t="inlineStr">
        <is>
          <t>06/15/2025</t>
        </is>
      </c>
      <c r="C1084" t="inlineStr">
        <is>
          <t>Credit Card Charge</t>
        </is>
      </c>
      <c r="D1084" t="inlineStr"/>
      <c r="E1084" t="inlineStr">
        <is>
          <t>Metro Rideshare</t>
        </is>
      </c>
      <c r="F1084" t="inlineStr">
        <is>
          <t>Metro Rideshare 2025-06</t>
        </is>
      </c>
      <c r="H1084" t="inlineStr">
        <is>
          <t>Vantage Credit Card 3391</t>
        </is>
      </c>
      <c r="I1084">
        <f>30.40</f>
        <v/>
      </c>
      <c r="J1084">
        <f>5753.57</f>
        <v/>
      </c>
    </row>
    <row r="1085">
      <c r="B1085" t="inlineStr">
        <is>
          <t>06/16/2025</t>
        </is>
      </c>
      <c r="C1085" t="inlineStr">
        <is>
          <t>Credit Card Charge</t>
        </is>
      </c>
      <c r="D1085" t="inlineStr"/>
      <c r="E1085" t="inlineStr">
        <is>
          <t>Skyward Air</t>
        </is>
      </c>
      <c r="F1085" t="inlineStr">
        <is>
          <t>Skyward Air 2025-06</t>
        </is>
      </c>
      <c r="H1085" t="inlineStr">
        <is>
          <t>Vantage Credit Card 3391</t>
        </is>
      </c>
      <c r="I1085">
        <f>207.47</f>
        <v/>
      </c>
      <c r="J1085">
        <f>5961.04</f>
        <v/>
      </c>
    </row>
    <row r="1086">
      <c r="B1086" t="inlineStr">
        <is>
          <t>06/25/2025</t>
        </is>
      </c>
      <c r="C1086" t="inlineStr">
        <is>
          <t>Credit Card Charge</t>
        </is>
      </c>
      <c r="D1086" t="inlineStr"/>
      <c r="E1086" t="inlineStr">
        <is>
          <t>Harbor Diner</t>
        </is>
      </c>
      <c r="F1086" t="inlineStr">
        <is>
          <t>Harbor Diner 2025-06</t>
        </is>
      </c>
      <c r="H1086" t="inlineStr">
        <is>
          <t>Vantage Credit Card 3391</t>
        </is>
      </c>
      <c r="I1086">
        <f>139.50</f>
        <v/>
      </c>
      <c r="J1086">
        <f>6100.54</f>
        <v/>
      </c>
    </row>
    <row r="1087">
      <c r="B1087" t="inlineStr">
        <is>
          <t>07/12/2025</t>
        </is>
      </c>
      <c r="C1087" t="inlineStr">
        <is>
          <t>Credit Card Charge</t>
        </is>
      </c>
      <c r="D1087" t="inlineStr"/>
      <c r="E1087" t="inlineStr">
        <is>
          <t>Metro Rideshare</t>
        </is>
      </c>
      <c r="F1087" t="inlineStr">
        <is>
          <t>Metro Rideshare 2025-07</t>
        </is>
      </c>
      <c r="H1087" t="inlineStr">
        <is>
          <t>Vantage Credit Card 3391</t>
        </is>
      </c>
      <c r="I1087">
        <f>32.58</f>
        <v/>
      </c>
      <c r="J1087">
        <f>6133.12</f>
        <v/>
      </c>
    </row>
    <row r="1088">
      <c r="B1088" t="inlineStr">
        <is>
          <t>07/12/2025</t>
        </is>
      </c>
      <c r="C1088" t="inlineStr">
        <is>
          <t>Credit Card Charge</t>
        </is>
      </c>
      <c r="D1088" t="inlineStr"/>
      <c r="E1088" t="inlineStr">
        <is>
          <t>Metro Rideshare</t>
        </is>
      </c>
      <c r="F1088" t="inlineStr">
        <is>
          <t>Metro Rideshare 2025-07</t>
        </is>
      </c>
      <c r="H1088" t="inlineStr">
        <is>
          <t>Vantage Credit Card 3391</t>
        </is>
      </c>
      <c r="I1088">
        <f>66.98</f>
        <v/>
      </c>
      <c r="J1088">
        <f>6200.10</f>
        <v/>
      </c>
    </row>
    <row r="1089">
      <c r="A1089" t="inlineStr">
        <is>
          <t>Total for 6900 Travel and Meals</t>
        </is>
      </c>
      <c r="I1089">
        <f>6200.10</f>
        <v/>
      </c>
    </row>
    <row r="1090"/>
    <row r="1091">
      <c r="A1091" t="inlineStr">
        <is>
          <t>6950 Bank and Processor Fees</t>
        </is>
      </c>
    </row>
    <row r="1092">
      <c r="G1092" t="inlineStr">
        <is>
          <t>Beginning Balance</t>
        </is>
      </c>
      <c r="J1092">
        <f>0.00</f>
        <v/>
      </c>
    </row>
    <row r="1093">
      <c r="B1093" t="inlineStr">
        <is>
          <t>01/31/2025</t>
        </is>
      </c>
      <c r="C1093" t="inlineStr">
        <is>
          <t>Journal Entry</t>
        </is>
      </c>
      <c r="D1093" t="inlineStr">
        <is>
          <t>JE-1002</t>
        </is>
      </c>
      <c r="E1093" t="inlineStr">
        <is>
          <t>Paylane</t>
        </is>
      </c>
      <c r="F1093" t="inlineStr">
        <is>
          <t>Paylane processing fees 2025-01, 40 charges</t>
        </is>
      </c>
      <c r="H1093" t="inlineStr">
        <is>
          <t>-Split-</t>
        </is>
      </c>
      <c r="I1093">
        <f>688.98</f>
        <v/>
      </c>
      <c r="J1093">
        <f>688.98</f>
        <v/>
      </c>
    </row>
    <row r="1094">
      <c r="B1094" t="inlineStr">
        <is>
          <t>01/31/2025</t>
        </is>
      </c>
      <c r="C1094" t="inlineStr">
        <is>
          <t>Expense</t>
        </is>
      </c>
      <c r="D1094" t="inlineStr"/>
      <c r="E1094" t="inlineStr">
        <is>
          <t>Northgate Bank</t>
        </is>
      </c>
      <c r="F1094" t="inlineStr">
        <is>
          <t>Account analysis fee 2025-01</t>
        </is>
      </c>
      <c r="H1094" t="inlineStr">
        <is>
          <t>1010 Northgate Checking 7742</t>
        </is>
      </c>
      <c r="I1094">
        <f>45.00</f>
        <v/>
      </c>
      <c r="J1094">
        <f>733.98</f>
        <v/>
      </c>
    </row>
    <row r="1095">
      <c r="B1095" t="inlineStr">
        <is>
          <t>02/28/2025</t>
        </is>
      </c>
      <c r="C1095" t="inlineStr">
        <is>
          <t>Journal Entry</t>
        </is>
      </c>
      <c r="D1095" t="inlineStr">
        <is>
          <t>JE-1005</t>
        </is>
      </c>
      <c r="E1095" t="inlineStr">
        <is>
          <t>Paylane</t>
        </is>
      </c>
      <c r="F1095" t="inlineStr">
        <is>
          <t>Paylane processing fees 2025-02, 43 charges</t>
        </is>
      </c>
      <c r="H1095" t="inlineStr">
        <is>
          <t>-Split-</t>
        </is>
      </c>
      <c r="I1095">
        <f>741.38</f>
        <v/>
      </c>
      <c r="J1095">
        <f>1475.36</f>
        <v/>
      </c>
    </row>
    <row r="1096">
      <c r="B1096" t="inlineStr">
        <is>
          <t>02/28/2025</t>
        </is>
      </c>
      <c r="C1096" t="inlineStr">
        <is>
          <t>Expense</t>
        </is>
      </c>
      <c r="D1096" t="inlineStr"/>
      <c r="E1096" t="inlineStr">
        <is>
          <t>Northgate Bank</t>
        </is>
      </c>
      <c r="F1096" t="inlineStr">
        <is>
          <t>Account analysis fee 2025-02</t>
        </is>
      </c>
      <c r="H1096" t="inlineStr">
        <is>
          <t>1010 Northgate Checking 7742</t>
        </is>
      </c>
      <c r="I1096">
        <f>45.00</f>
        <v/>
      </c>
      <c r="J1096">
        <f>1520.36</f>
        <v/>
      </c>
    </row>
    <row r="1097">
      <c r="B1097" t="inlineStr">
        <is>
          <t>03/31/2025</t>
        </is>
      </c>
      <c r="C1097" t="inlineStr">
        <is>
          <t>Journal Entry</t>
        </is>
      </c>
      <c r="D1097" t="inlineStr">
        <is>
          <t>JE-1009</t>
        </is>
      </c>
      <c r="E1097" t="inlineStr">
        <is>
          <t>Paylane</t>
        </is>
      </c>
      <c r="F1097" t="inlineStr">
        <is>
          <t>Paylane processing fees 2025-03, 46 charges</t>
        </is>
      </c>
      <c r="H1097" t="inlineStr">
        <is>
          <t>-Split-</t>
        </is>
      </c>
      <c r="I1097">
        <f>818.25</f>
        <v/>
      </c>
      <c r="J1097">
        <f>2338.61</f>
        <v/>
      </c>
    </row>
    <row r="1098">
      <c r="B1098" t="inlineStr">
        <is>
          <t>03/31/2025</t>
        </is>
      </c>
      <c r="C1098" t="inlineStr">
        <is>
          <t>Expense</t>
        </is>
      </c>
      <c r="D1098" t="inlineStr"/>
      <c r="E1098" t="inlineStr">
        <is>
          <t>Northgate Bank</t>
        </is>
      </c>
      <c r="F1098" t="inlineStr">
        <is>
          <t>Account analysis fee 2025-03</t>
        </is>
      </c>
      <c r="H1098" t="inlineStr">
        <is>
          <t>1010 Northgate Checking 7742</t>
        </is>
      </c>
      <c r="I1098">
        <f>45.00</f>
        <v/>
      </c>
      <c r="J1098">
        <f>2383.61</f>
        <v/>
      </c>
    </row>
    <row r="1099">
      <c r="B1099" t="inlineStr">
        <is>
          <t>04/30/2025</t>
        </is>
      </c>
      <c r="C1099" t="inlineStr">
        <is>
          <t>Journal Entry</t>
        </is>
      </c>
      <c r="D1099" t="inlineStr">
        <is>
          <t>JE-1014</t>
        </is>
      </c>
      <c r="E1099" t="inlineStr">
        <is>
          <t>Paylane</t>
        </is>
      </c>
      <c r="F1099" t="inlineStr">
        <is>
          <t>Paylane processing fees 2025-04, 49 charges</t>
        </is>
      </c>
      <c r="H1099" t="inlineStr">
        <is>
          <t>-Split-</t>
        </is>
      </c>
      <c r="I1099">
        <f>824.71</f>
        <v/>
      </c>
      <c r="J1099">
        <f>3208.32</f>
        <v/>
      </c>
    </row>
    <row r="1100">
      <c r="B1100" t="inlineStr">
        <is>
          <t>04/30/2025</t>
        </is>
      </c>
      <c r="C1100" t="inlineStr">
        <is>
          <t>Expense</t>
        </is>
      </c>
      <c r="D1100" t="inlineStr"/>
      <c r="E1100" t="inlineStr">
        <is>
          <t>Northgate Bank</t>
        </is>
      </c>
      <c r="F1100" t="inlineStr">
        <is>
          <t>Account analysis fee 2025-04</t>
        </is>
      </c>
      <c r="H1100" t="inlineStr">
        <is>
          <t>1010 Northgate Checking 7742</t>
        </is>
      </c>
      <c r="I1100">
        <f>45.00</f>
        <v/>
      </c>
      <c r="J1100">
        <f>3253.32</f>
        <v/>
      </c>
    </row>
    <row r="1101">
      <c r="B1101" t="inlineStr">
        <is>
          <t>05/31/2025</t>
        </is>
      </c>
      <c r="C1101" t="inlineStr">
        <is>
          <t>Journal Entry</t>
        </is>
      </c>
      <c r="D1101" t="inlineStr">
        <is>
          <t>JE-1019</t>
        </is>
      </c>
      <c r="E1101" t="inlineStr">
        <is>
          <t>Paylane</t>
        </is>
      </c>
      <c r="F1101" t="inlineStr">
        <is>
          <t>Paylane processing fees 2025-05, 52 charges</t>
        </is>
      </c>
      <c r="H1101" t="inlineStr">
        <is>
          <t>-Split-</t>
        </is>
      </c>
      <c r="I1101">
        <f>864.61</f>
        <v/>
      </c>
      <c r="J1101">
        <f>4117.93</f>
        <v/>
      </c>
    </row>
    <row r="1102">
      <c r="B1102" t="inlineStr">
        <is>
          <t>05/31/2025</t>
        </is>
      </c>
      <c r="C1102" t="inlineStr">
        <is>
          <t>Expense</t>
        </is>
      </c>
      <c r="D1102" t="inlineStr"/>
      <c r="E1102" t="inlineStr">
        <is>
          <t>Northgate Bank</t>
        </is>
      </c>
      <c r="F1102" t="inlineStr">
        <is>
          <t>Account analysis fee 2025-05</t>
        </is>
      </c>
      <c r="H1102" t="inlineStr">
        <is>
          <t>1010 Northgate Checking 7742</t>
        </is>
      </c>
      <c r="I1102">
        <f>45.00</f>
        <v/>
      </c>
      <c r="J1102">
        <f>4162.93</f>
        <v/>
      </c>
    </row>
    <row r="1103">
      <c r="B1103" t="inlineStr">
        <is>
          <t>06/30/2025</t>
        </is>
      </c>
      <c r="C1103" t="inlineStr">
        <is>
          <t>Journal Entry</t>
        </is>
      </c>
      <c r="D1103" t="inlineStr">
        <is>
          <t>JE-1024</t>
        </is>
      </c>
      <c r="E1103" t="inlineStr">
        <is>
          <t>Paylane</t>
        </is>
      </c>
      <c r="F1103" t="inlineStr">
        <is>
          <t>Paylane processing fees 2025-06, 55 charges</t>
        </is>
      </c>
      <c r="H1103" t="inlineStr">
        <is>
          <t>-Split-</t>
        </is>
      </c>
      <c r="I1103">
        <f>933.96</f>
        <v/>
      </c>
      <c r="J1103">
        <f>5096.89</f>
        <v/>
      </c>
    </row>
    <row r="1104">
      <c r="B1104" t="inlineStr">
        <is>
          <t>06/30/2025</t>
        </is>
      </c>
      <c r="C1104" t="inlineStr">
        <is>
          <t>Expense</t>
        </is>
      </c>
      <c r="D1104" t="inlineStr"/>
      <c r="E1104" t="inlineStr">
        <is>
          <t>Northgate Bank</t>
        </is>
      </c>
      <c r="F1104" t="inlineStr">
        <is>
          <t>Account analysis fee 2025-06</t>
        </is>
      </c>
      <c r="H1104" t="inlineStr">
        <is>
          <t>1010 Northgate Checking 7742</t>
        </is>
      </c>
      <c r="I1104">
        <f>45.00</f>
        <v/>
      </c>
      <c r="J1104">
        <f>5141.89</f>
        <v/>
      </c>
    </row>
    <row r="1105">
      <c r="B1105" t="inlineStr">
        <is>
          <t>07/31/2025</t>
        </is>
      </c>
      <c r="C1105" t="inlineStr">
        <is>
          <t>Journal Entry</t>
        </is>
      </c>
      <c r="D1105" t="inlineStr">
        <is>
          <t>JE-1029</t>
        </is>
      </c>
      <c r="E1105" t="inlineStr">
        <is>
          <t>Paylane</t>
        </is>
      </c>
      <c r="F1105" t="inlineStr">
        <is>
          <t>Paylane processing fees 2025-07, 58 charges</t>
        </is>
      </c>
      <c r="H1105" t="inlineStr">
        <is>
          <t>-Split-</t>
        </is>
      </c>
      <c r="I1105">
        <f>991.92</f>
        <v/>
      </c>
      <c r="J1105">
        <f>6133.81</f>
        <v/>
      </c>
    </row>
    <row r="1106">
      <c r="B1106" t="inlineStr">
        <is>
          <t>07/31/2025</t>
        </is>
      </c>
      <c r="C1106" t="inlineStr">
        <is>
          <t>Expense</t>
        </is>
      </c>
      <c r="D1106" t="inlineStr"/>
      <c r="E1106" t="inlineStr">
        <is>
          <t>Northgate Bank</t>
        </is>
      </c>
      <c r="F1106" t="inlineStr">
        <is>
          <t>Account analysis fee 2025-07</t>
        </is>
      </c>
      <c r="H1106" t="inlineStr">
        <is>
          <t>1010 Northgate Checking 7742</t>
        </is>
      </c>
      <c r="I1106">
        <f>45.00</f>
        <v/>
      </c>
      <c r="J1106">
        <f>6178.81</f>
        <v/>
      </c>
    </row>
    <row r="1107">
      <c r="B1107" t="inlineStr">
        <is>
          <t>08/31/2025</t>
        </is>
      </c>
      <c r="C1107" t="inlineStr">
        <is>
          <t>Journal Entry</t>
        </is>
      </c>
      <c r="D1107" t="inlineStr">
        <is>
          <t>JE-1033</t>
        </is>
      </c>
      <c r="E1107" t="inlineStr">
        <is>
          <t>Paylane</t>
        </is>
      </c>
      <c r="F1107" t="inlineStr">
        <is>
          <t>Paylane processing fees 2025-08, 61 charges</t>
        </is>
      </c>
      <c r="H1107" t="inlineStr">
        <is>
          <t>-Split-</t>
        </is>
      </c>
      <c r="I1107">
        <f>1001.44</f>
        <v/>
      </c>
      <c r="J1107">
        <f>7180.25</f>
        <v/>
      </c>
    </row>
    <row r="1108">
      <c r="B1108" t="inlineStr">
        <is>
          <t>08/31/2025</t>
        </is>
      </c>
      <c r="C1108" t="inlineStr">
        <is>
          <t>Expense</t>
        </is>
      </c>
      <c r="D1108" t="inlineStr"/>
      <c r="E1108" t="inlineStr">
        <is>
          <t>Northgate Bank</t>
        </is>
      </c>
      <c r="F1108" t="inlineStr">
        <is>
          <t>Account analysis fee 2025-08</t>
        </is>
      </c>
      <c r="H1108" t="inlineStr">
        <is>
          <t>1010 Northgate Checking 7742</t>
        </is>
      </c>
      <c r="I1108">
        <f>45.00</f>
        <v/>
      </c>
      <c r="J1108">
        <f>7225.25</f>
        <v/>
      </c>
    </row>
    <row r="1109">
      <c r="B1109" t="inlineStr">
        <is>
          <t>09/19/2025</t>
        </is>
      </c>
      <c r="C1109" t="inlineStr">
        <is>
          <t>Expense</t>
        </is>
      </c>
      <c r="D1109" t="inlineStr"/>
      <c r="E1109" t="inlineStr">
        <is>
          <t>Northgate Bank</t>
        </is>
      </c>
      <c r="F1109" t="inlineStr">
        <is>
          <t>Returned item adjustment</t>
        </is>
      </c>
      <c r="H1109" t="inlineStr">
        <is>
          <t>1010 Northgate Checking 7742</t>
        </is>
      </c>
      <c r="I1109">
        <f>312.44</f>
        <v/>
      </c>
      <c r="J1109">
        <f>7537.69</f>
        <v/>
      </c>
    </row>
    <row r="1110">
      <c r="B1110" t="inlineStr">
        <is>
          <t>09/30/2025</t>
        </is>
      </c>
      <c r="C1110" t="inlineStr">
        <is>
          <t>Expense</t>
        </is>
      </c>
      <c r="D1110" t="inlineStr"/>
      <c r="E1110" t="inlineStr">
        <is>
          <t>Northgate Bank</t>
        </is>
      </c>
      <c r="F1110" t="inlineStr">
        <is>
          <t>Account analysis fee 2025-09</t>
        </is>
      </c>
      <c r="H1110" t="inlineStr">
        <is>
          <t>1010 Northgate Checking 7742</t>
        </is>
      </c>
      <c r="I1110">
        <f>45.00</f>
        <v/>
      </c>
      <c r="J1110">
        <f>7582.69</f>
        <v/>
      </c>
    </row>
    <row r="1111">
      <c r="A1111" t="inlineStr">
        <is>
          <t>Total for 6950 Bank and Processor Fees</t>
        </is>
      </c>
      <c r="I1111">
        <f>7582.69</f>
        <v/>
      </c>
    </row>
    <row r="1112"/>
    <row r="1113">
      <c r="A1113" t="inlineStr">
        <is>
          <t>7000 Depreciation Expense</t>
        </is>
      </c>
    </row>
    <row r="1114">
      <c r="G1114" t="inlineStr">
        <is>
          <t>Beginning Balance</t>
        </is>
      </c>
      <c r="J1114">
        <f>0.00</f>
        <v/>
      </c>
    </row>
    <row r="1115">
      <c r="B1115" t="inlineStr">
        <is>
          <t>02/28/2025</t>
        </is>
      </c>
      <c r="C1115" t="inlineStr">
        <is>
          <t>Journal Entry</t>
        </is>
      </c>
      <c r="D1115" t="inlineStr">
        <is>
          <t>JE-1008</t>
        </is>
      </c>
      <c r="E1115" t="inlineStr"/>
      <c r="F1115" t="inlineStr">
        <is>
          <t>Depreciation 2025-02</t>
        </is>
      </c>
      <c r="H1115" t="inlineStr">
        <is>
          <t>1510 Accumulated Depreciation</t>
        </is>
      </c>
      <c r="I1115">
        <f>800.00</f>
        <v/>
      </c>
      <c r="J1115">
        <f>800.00</f>
        <v/>
      </c>
    </row>
    <row r="1116">
      <c r="B1116" t="inlineStr">
        <is>
          <t>03/31/2025</t>
        </is>
      </c>
      <c r="C1116" t="inlineStr">
        <is>
          <t>Journal Entry</t>
        </is>
      </c>
      <c r="D1116" t="inlineStr">
        <is>
          <t>JE-1013</t>
        </is>
      </c>
      <c r="E1116" t="inlineStr"/>
      <c r="F1116" t="inlineStr">
        <is>
          <t>Depreciation 2025-03</t>
        </is>
      </c>
      <c r="H1116" t="inlineStr">
        <is>
          <t>1510 Accumulated Depreciation</t>
        </is>
      </c>
      <c r="I1116">
        <f>800.00</f>
        <v/>
      </c>
      <c r="J1116">
        <f>1600.00</f>
        <v/>
      </c>
    </row>
    <row r="1117">
      <c r="B1117" t="inlineStr">
        <is>
          <t>04/30/2025</t>
        </is>
      </c>
      <c r="C1117" t="inlineStr">
        <is>
          <t>Journal Entry</t>
        </is>
      </c>
      <c r="D1117" t="inlineStr">
        <is>
          <t>JE-1018</t>
        </is>
      </c>
      <c r="E1117" t="inlineStr"/>
      <c r="F1117" t="inlineStr">
        <is>
          <t>Depreciation 2025-04</t>
        </is>
      </c>
      <c r="H1117" t="inlineStr">
        <is>
          <t>1510 Accumulated Depreciation</t>
        </is>
      </c>
      <c r="I1117">
        <f>800.00</f>
        <v/>
      </c>
      <c r="J1117">
        <f>2400.00</f>
        <v/>
      </c>
    </row>
    <row r="1118">
      <c r="B1118" t="inlineStr">
        <is>
          <t>05/31/2025</t>
        </is>
      </c>
      <c r="C1118" t="inlineStr">
        <is>
          <t>Journal Entry</t>
        </is>
      </c>
      <c r="D1118" t="inlineStr">
        <is>
          <t>JE-1023</t>
        </is>
      </c>
      <c r="E1118" t="inlineStr"/>
      <c r="F1118" t="inlineStr">
        <is>
          <t>Depreciation 2025-05</t>
        </is>
      </c>
      <c r="H1118" t="inlineStr">
        <is>
          <t>1510 Accumulated Depreciation</t>
        </is>
      </c>
      <c r="I1118">
        <f>800.00</f>
        <v/>
      </c>
      <c r="J1118">
        <f>3200.00</f>
        <v/>
      </c>
    </row>
    <row r="1119">
      <c r="B1119" t="inlineStr">
        <is>
          <t>06/30/2025</t>
        </is>
      </c>
      <c r="C1119" t="inlineStr">
        <is>
          <t>Journal Entry</t>
        </is>
      </c>
      <c r="D1119" t="inlineStr">
        <is>
          <t>JE-1028</t>
        </is>
      </c>
      <c r="E1119" t="inlineStr"/>
      <c r="F1119" t="inlineStr">
        <is>
          <t>Depreciation 2025-06</t>
        </is>
      </c>
      <c r="H1119" t="inlineStr">
        <is>
          <t>1510 Accumulated Depreciation</t>
        </is>
      </c>
      <c r="I1119">
        <f>800.00</f>
        <v/>
      </c>
      <c r="J1119">
        <f>4000.00</f>
        <v/>
      </c>
    </row>
    <row r="1120">
      <c r="B1120" t="inlineStr">
        <is>
          <t>07/31/2025</t>
        </is>
      </c>
      <c r="C1120" t="inlineStr">
        <is>
          <t>Journal Entry</t>
        </is>
      </c>
      <c r="D1120" t="inlineStr">
        <is>
          <t>JE-1032</t>
        </is>
      </c>
      <c r="E1120" t="inlineStr"/>
      <c r="F1120" t="inlineStr">
        <is>
          <t>Depreciation 2025-07</t>
        </is>
      </c>
      <c r="H1120" t="inlineStr">
        <is>
          <t>1510 Accumulated Depreciation</t>
        </is>
      </c>
      <c r="I1120">
        <f>800.00</f>
        <v/>
      </c>
      <c r="J1120">
        <f>4800.00</f>
        <v/>
      </c>
    </row>
    <row r="1121">
      <c r="B1121" t="inlineStr">
        <is>
          <t>08/31/2025</t>
        </is>
      </c>
      <c r="C1121" t="inlineStr">
        <is>
          <t>Journal Entry</t>
        </is>
      </c>
      <c r="D1121" t="inlineStr">
        <is>
          <t>JE-1035</t>
        </is>
      </c>
      <c r="E1121" t="inlineStr"/>
      <c r="F1121" t="inlineStr">
        <is>
          <t>Depreciation 2025-08</t>
        </is>
      </c>
      <c r="H1121" t="inlineStr">
        <is>
          <t>1510 Accumulated Depreciation</t>
        </is>
      </c>
      <c r="I1121">
        <f>800.00</f>
        <v/>
      </c>
      <c r="J1121">
        <f>5600.00</f>
        <v/>
      </c>
    </row>
    <row r="1122">
      <c r="B1122" t="inlineStr">
        <is>
          <t>09/30/2025</t>
        </is>
      </c>
      <c r="C1122" t="inlineStr">
        <is>
          <t>Journal Entry</t>
        </is>
      </c>
      <c r="D1122" t="inlineStr">
        <is>
          <t>JE-1036</t>
        </is>
      </c>
      <c r="E1122" t="inlineStr"/>
      <c r="F1122" t="inlineStr">
        <is>
          <t>Depreciation 2025-09</t>
        </is>
      </c>
      <c r="H1122" t="inlineStr">
        <is>
          <t>1510 Accumulated Depreciation</t>
        </is>
      </c>
      <c r="I1122">
        <f>800.00</f>
        <v/>
      </c>
      <c r="J1122">
        <f>6400.00</f>
        <v/>
      </c>
    </row>
    <row r="1123">
      <c r="B1123" t="inlineStr">
        <is>
          <t>10/31/2025</t>
        </is>
      </c>
      <c r="C1123" t="inlineStr">
        <is>
          <t>Journal Entry</t>
        </is>
      </c>
      <c r="D1123" t="inlineStr">
        <is>
          <t>JE-1041</t>
        </is>
      </c>
      <c r="E1123" t="inlineStr"/>
      <c r="F1123" t="inlineStr">
        <is>
          <t>Depreciation 2025-10</t>
        </is>
      </c>
      <c r="H1123" t="inlineStr">
        <is>
          <t>1510 Accumulated Depreciation</t>
        </is>
      </c>
      <c r="I1123">
        <f>800.00</f>
        <v/>
      </c>
      <c r="J1123">
        <f>7200.00</f>
        <v/>
      </c>
    </row>
    <row r="1124">
      <c r="B1124" t="inlineStr">
        <is>
          <t>11/30/2025</t>
        </is>
      </c>
      <c r="C1124" t="inlineStr">
        <is>
          <t>Journal Entry</t>
        </is>
      </c>
      <c r="D1124" t="inlineStr">
        <is>
          <t>JE-1046</t>
        </is>
      </c>
      <c r="E1124" t="inlineStr"/>
      <c r="F1124" t="inlineStr">
        <is>
          <t>Depreciation 2025-11</t>
        </is>
      </c>
      <c r="H1124" t="inlineStr">
        <is>
          <t>1510 Accumulated Depreciation</t>
        </is>
      </c>
      <c r="I1124">
        <f>800.00</f>
        <v/>
      </c>
      <c r="J1124">
        <f>8000.00</f>
        <v/>
      </c>
    </row>
    <row r="1125">
      <c r="B1125" t="inlineStr">
        <is>
          <t>12/31/2025</t>
        </is>
      </c>
      <c r="C1125" t="inlineStr">
        <is>
          <t>Journal Entry</t>
        </is>
      </c>
      <c r="D1125" t="inlineStr">
        <is>
          <t>JE-1051</t>
        </is>
      </c>
      <c r="E1125" t="inlineStr"/>
      <c r="F1125" t="inlineStr">
        <is>
          <t>Depreciation 2025-12</t>
        </is>
      </c>
      <c r="H1125" t="inlineStr">
        <is>
          <t>1510 Accumulated Depreciation</t>
        </is>
      </c>
      <c r="I1125">
        <f>800.00</f>
        <v/>
      </c>
      <c r="J1125">
        <f>8800.00</f>
        <v/>
      </c>
    </row>
    <row r="1126">
      <c r="A1126" t="inlineStr">
        <is>
          <t>Total for 7000 Depreciation Expense</t>
        </is>
      </c>
      <c r="I1126">
        <f>8800.00</f>
        <v/>
      </c>
    </row>
    <row r="1127"/>
    <row r="1128">
      <c r="A1128" t="inlineStr">
        <is>
          <t>7100 Amortization Expense</t>
        </is>
      </c>
    </row>
    <row r="1129">
      <c r="G1129" t="inlineStr">
        <is>
          <t>Beginning Balance</t>
        </is>
      </c>
      <c r="J1129">
        <f>0.00</f>
        <v/>
      </c>
    </row>
    <row r="1130">
      <c r="B1130" t="inlineStr">
        <is>
          <t>01/31/2025</t>
        </is>
      </c>
      <c r="C1130" t="inlineStr">
        <is>
          <t>Journal Entry</t>
        </is>
      </c>
      <c r="D1130" t="inlineStr">
        <is>
          <t>JE-1004</t>
        </is>
      </c>
      <c r="E1130" t="inlineStr">
        <is>
          <t>Orion Design Works</t>
        </is>
      </c>
      <c r="F1130" t="inlineStr">
        <is>
          <t>Design license 2025-01</t>
        </is>
      </c>
      <c r="H1130" t="inlineStr">
        <is>
          <t>1610 Accumulated Amortization - Design License</t>
        </is>
      </c>
      <c r="I1130">
        <f>1000.00</f>
        <v/>
      </c>
      <c r="J1130">
        <f>1000.00</f>
        <v/>
      </c>
    </row>
    <row r="1131">
      <c r="B1131" t="inlineStr">
        <is>
          <t>02/28/2025</t>
        </is>
      </c>
      <c r="C1131" t="inlineStr">
        <is>
          <t>Journal Entry</t>
        </is>
      </c>
      <c r="D1131" t="inlineStr">
        <is>
          <t>JE-1007</t>
        </is>
      </c>
      <c r="E1131" t="inlineStr">
        <is>
          <t>Orion Design Works</t>
        </is>
      </c>
      <c r="F1131" t="inlineStr">
        <is>
          <t>Design license 2025-02</t>
        </is>
      </c>
      <c r="H1131" t="inlineStr">
        <is>
          <t>1610 Accumulated Amortization - Design License</t>
        </is>
      </c>
      <c r="I1131">
        <f>1000.00</f>
        <v/>
      </c>
      <c r="J1131">
        <f>2000.00</f>
        <v/>
      </c>
    </row>
    <row r="1132">
      <c r="B1132" t="inlineStr">
        <is>
          <t>03/31/2025</t>
        </is>
      </c>
      <c r="C1132" t="inlineStr">
        <is>
          <t>Journal Entry</t>
        </is>
      </c>
      <c r="D1132" t="inlineStr">
        <is>
          <t>JE-1012</t>
        </is>
      </c>
      <c r="E1132" t="inlineStr">
        <is>
          <t>Orion Design Works</t>
        </is>
      </c>
      <c r="F1132" t="inlineStr">
        <is>
          <t>Design license 2025-03</t>
        </is>
      </c>
      <c r="H1132" t="inlineStr">
        <is>
          <t>1610 Accumulated Amortization - Design License</t>
        </is>
      </c>
      <c r="I1132">
        <f>1000.00</f>
        <v/>
      </c>
      <c r="J1132">
        <f>3000.00</f>
        <v/>
      </c>
    </row>
    <row r="1133">
      <c r="B1133" t="inlineStr">
        <is>
          <t>04/30/2025</t>
        </is>
      </c>
      <c r="C1133" t="inlineStr">
        <is>
          <t>Journal Entry</t>
        </is>
      </c>
      <c r="D1133" t="inlineStr">
        <is>
          <t>JE-1017</t>
        </is>
      </c>
      <c r="E1133" t="inlineStr">
        <is>
          <t>Orion Design Works</t>
        </is>
      </c>
      <c r="F1133" t="inlineStr">
        <is>
          <t>Design license 2025-04</t>
        </is>
      </c>
      <c r="H1133" t="inlineStr">
        <is>
          <t>1610 Accumulated Amortization - Design License</t>
        </is>
      </c>
      <c r="I1133">
        <f>1000.00</f>
        <v/>
      </c>
      <c r="J1133">
        <f>4000.00</f>
        <v/>
      </c>
    </row>
    <row r="1134">
      <c r="B1134" t="inlineStr">
        <is>
          <t>05/31/2025</t>
        </is>
      </c>
      <c r="C1134" t="inlineStr">
        <is>
          <t>Journal Entry</t>
        </is>
      </c>
      <c r="D1134" t="inlineStr">
        <is>
          <t>JE-1022</t>
        </is>
      </c>
      <c r="E1134" t="inlineStr">
        <is>
          <t>Orion Design Works</t>
        </is>
      </c>
      <c r="F1134" t="inlineStr">
        <is>
          <t>Design license 2025-05</t>
        </is>
      </c>
      <c r="H1134" t="inlineStr">
        <is>
          <t>1610 Accumulated Amortization - Design License</t>
        </is>
      </c>
      <c r="I1134">
        <f>1000.00</f>
        <v/>
      </c>
      <c r="J1134">
        <f>5000.00</f>
        <v/>
      </c>
    </row>
    <row r="1135">
      <c r="B1135" t="inlineStr">
        <is>
          <t>06/30/2025</t>
        </is>
      </c>
      <c r="C1135" t="inlineStr">
        <is>
          <t>Journal Entry</t>
        </is>
      </c>
      <c r="D1135" t="inlineStr">
        <is>
          <t>JE-1027</t>
        </is>
      </c>
      <c r="E1135" t="inlineStr">
        <is>
          <t>Orion Design Works</t>
        </is>
      </c>
      <c r="F1135" t="inlineStr">
        <is>
          <t>Design license 2025-06</t>
        </is>
      </c>
      <c r="H1135" t="inlineStr">
        <is>
          <t>1610 Accumulated Amortization - Design License</t>
        </is>
      </c>
      <c r="I1135">
        <f>1000.00</f>
        <v/>
      </c>
      <c r="J1135">
        <f>6000.00</f>
        <v/>
      </c>
    </row>
    <row r="1136">
      <c r="B1136" t="inlineStr">
        <is>
          <t>07/31/2025</t>
        </is>
      </c>
      <c r="C1136" t="inlineStr">
        <is>
          <t>Journal Entry</t>
        </is>
      </c>
      <c r="D1136" t="inlineStr">
        <is>
          <t>JE-1031</t>
        </is>
      </c>
      <c r="E1136" t="inlineStr">
        <is>
          <t>Orion Design Works</t>
        </is>
      </c>
      <c r="F1136" t="inlineStr">
        <is>
          <t>Design license 2025-07</t>
        </is>
      </c>
      <c r="H1136" t="inlineStr">
        <is>
          <t>1610 Accumulated Amortization - Design License</t>
        </is>
      </c>
      <c r="I1136">
        <f>1000.00</f>
        <v/>
      </c>
      <c r="J1136">
        <f>7000.00</f>
        <v/>
      </c>
    </row>
    <row r="1137">
      <c r="A1137" t="inlineStr">
        <is>
          <t>Total for 7100 Amortization Expense</t>
        </is>
      </c>
      <c r="I1137">
        <f>7000.00</f>
        <v/>
      </c>
    </row>
    <row r="1138"/>
    <row r="1139">
      <c r="A1139" t="inlineStr">
        <is>
          <t>TOTAL</t>
        </is>
      </c>
      <c r="I1139">
        <f>3276328.04</f>
        <v/>
      </c>
    </row>
    <row r="1140"/>
    <row r="1141">
      <c r="A1141" t="inlineStr">
        <is>
          <t>Accrual Basis Monday, March 02, 2026 08:03 PM GMT-8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2026-09-10T02:33:14Z</dcterms:created>
  <dcterms:modified xmlns:dcterms="http://purl.org/dc/terms/" xmlns:xsi="http://www.w3.org/2001/XMLSchema-instance" xsi:type="dcterms:W3CDTF">2026-09-10T02:33:14Z</dcterms:modified>
</cp:coreProperties>
</file>