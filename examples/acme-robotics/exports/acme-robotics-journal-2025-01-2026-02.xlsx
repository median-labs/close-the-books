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</t>
        </is>
      </c>
    </row>
    <row r="2">
      <c r="A2" t="inlineStr">
        <is>
          <t>Acme Robotics Inc.</t>
        </is>
      </c>
    </row>
    <row r="3">
      <c r="A3" t="inlineStr">
        <is>
          <t>January 1, 2025-February 28, 2026</t>
        </is>
      </c>
    </row>
    <row r="4"/>
    <row r="5">
      <c r="A5" t="inlineStr"/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Memo/Description</t>
        </is>
      </c>
      <c r="G5" t="inlineStr">
        <is>
          <t>Distribution Account Number</t>
        </is>
      </c>
      <c r="H5" t="inlineStr">
        <is>
          <t>Account Full Name</t>
        </is>
      </c>
      <c r="I5" t="inlineStr">
        <is>
          <t>Class</t>
        </is>
      </c>
      <c r="J5" t="inlineStr">
        <is>
          <t>Debit</t>
        </is>
      </c>
      <c r="K5" t="inlineStr">
        <is>
          <t>Credit</t>
        </is>
      </c>
    </row>
    <row r="6">
      <c r="A6" t="inlineStr">
        <is>
          <t>T-00001</t>
        </is>
      </c>
    </row>
    <row r="7">
      <c r="B7" t="inlineStr">
        <is>
          <t>01/01/2025</t>
        </is>
      </c>
      <c r="C7" t="inlineStr">
        <is>
          <t>Journal Entry</t>
        </is>
      </c>
      <c r="D7" t="inlineStr">
        <is>
          <t>JE-1001</t>
        </is>
      </c>
      <c r="E7" t="inlineStr"/>
      <c r="F7" t="inlineStr">
        <is>
          <t>Opening balance, Vantage Card 3391</t>
        </is>
      </c>
      <c r="G7" t="inlineStr">
        <is>
          <t>3200</t>
        </is>
      </c>
      <c r="H7" t="inlineStr">
        <is>
          <t>Opening Balance Equity</t>
        </is>
      </c>
      <c r="I7" t="inlineStr">
        <is>
          <t>Overhead</t>
        </is>
      </c>
      <c r="J7">
        <f>4182.65</f>
        <v/>
      </c>
    </row>
    <row r="8">
      <c r="B8" t="inlineStr">
        <is>
          <t>01/01/2025</t>
        </is>
      </c>
      <c r="C8" t="inlineStr">
        <is>
          <t>Journal Entry</t>
        </is>
      </c>
      <c r="D8" t="inlineStr">
        <is>
          <t>JE-1001</t>
        </is>
      </c>
      <c r="E8" t="inlineStr"/>
      <c r="F8" t="inlineStr">
        <is>
          <t>Opening balance, Vantage Card 3391</t>
        </is>
      </c>
      <c r="G8" t="inlineStr">
        <is>
          <t>2100</t>
        </is>
      </c>
      <c r="H8" t="inlineStr">
        <is>
          <t>Vantage Card 3391</t>
        </is>
      </c>
      <c r="I8" t="inlineStr">
        <is>
          <t>Overhead</t>
        </is>
      </c>
      <c r="K8">
        <f>4182.65</f>
        <v/>
      </c>
    </row>
    <row r="9">
      <c r="A9" t="inlineStr">
        <is>
          <t>Total for T-00001</t>
        </is>
      </c>
      <c r="J9">
        <f>J7</f>
        <v/>
      </c>
      <c r="K9">
        <f>K8</f>
        <v/>
      </c>
    </row>
    <row r="10"/>
    <row r="11">
      <c r="A11" t="inlineStr">
        <is>
          <t>T-00002</t>
        </is>
      </c>
    </row>
    <row r="12">
      <c r="B12" t="inlineStr">
        <is>
          <t>01/01/2025</t>
        </is>
      </c>
      <c r="C12" t="inlineStr">
        <is>
          <t>Deposit</t>
        </is>
      </c>
      <c r="D12" t="inlineStr"/>
      <c r="E12" t="inlineStr">
        <is>
          <t>Founders</t>
        </is>
      </c>
      <c r="F12" t="inlineStr">
        <is>
          <t>Founder common stock purchase</t>
        </is>
      </c>
      <c r="G12" t="inlineStr">
        <is>
          <t>1010</t>
        </is>
      </c>
      <c r="H12" t="inlineStr">
        <is>
          <t>Northgate Checking 7742</t>
        </is>
      </c>
      <c r="I12" t="inlineStr">
        <is>
          <t>Overhead</t>
        </is>
      </c>
      <c r="J12">
        <f>25000.00</f>
        <v/>
      </c>
    </row>
    <row r="13">
      <c r="B13" t="inlineStr">
        <is>
          <t>01/01/2025</t>
        </is>
      </c>
      <c r="C13" t="inlineStr">
        <is>
          <t>Deposit</t>
        </is>
      </c>
      <c r="D13" t="inlineStr"/>
      <c r="E13" t="inlineStr">
        <is>
          <t>Founders</t>
        </is>
      </c>
      <c r="F13" t="inlineStr">
        <is>
          <t>1,000,000 shares at 0.001 par</t>
        </is>
      </c>
      <c r="G13" t="inlineStr">
        <is>
          <t>3000</t>
        </is>
      </c>
      <c r="H13" t="inlineStr">
        <is>
          <t>Common Stock</t>
        </is>
      </c>
      <c r="I13" t="inlineStr">
        <is>
          <t>Overhead</t>
        </is>
      </c>
      <c r="K13">
        <f>1000.00</f>
        <v/>
      </c>
    </row>
    <row r="14">
      <c r="B14" t="inlineStr">
        <is>
          <t>01/01/2025</t>
        </is>
      </c>
      <c r="C14" t="inlineStr">
        <is>
          <t>Deposit</t>
        </is>
      </c>
      <c r="D14" t="inlineStr"/>
      <c r="E14" t="inlineStr">
        <is>
          <t>Founders</t>
        </is>
      </c>
      <c r="F14" t="inlineStr">
        <is>
          <t>Paid-in capital over par</t>
        </is>
      </c>
      <c r="G14" t="inlineStr">
        <is>
          <t>3100</t>
        </is>
      </c>
      <c r="H14" t="inlineStr">
        <is>
          <t>Additional Paid-In Capital</t>
        </is>
      </c>
      <c r="I14" t="inlineStr">
        <is>
          <t>Overhead</t>
        </is>
      </c>
      <c r="K14">
        <f>24000.00</f>
        <v/>
      </c>
    </row>
    <row r="15">
      <c r="A15" t="inlineStr">
        <is>
          <t>Total for T-00002</t>
        </is>
      </c>
      <c r="J15">
        <f>J12</f>
        <v/>
      </c>
      <c r="K15">
        <f>K13+K14</f>
        <v/>
      </c>
    </row>
    <row r="16"/>
    <row r="17">
      <c r="A17" t="inlineStr">
        <is>
          <t>T-00006</t>
        </is>
      </c>
    </row>
    <row r="18">
      <c r="B18" t="inlineStr">
        <is>
          <t>01/01/2025</t>
        </is>
      </c>
      <c r="C18" t="inlineStr">
        <is>
          <t>Expense</t>
        </is>
      </c>
      <c r="D18" t="inlineStr"/>
      <c r="E18" t="inlineStr">
        <is>
          <t>Wingtip Workspace</t>
        </is>
      </c>
      <c r="F18" t="inlineStr">
        <is>
          <t>Office rent 2025-01</t>
        </is>
      </c>
      <c r="G18" t="inlineStr">
        <is>
          <t>6400</t>
        </is>
      </c>
      <c r="H18" t="inlineStr">
        <is>
          <t>Rent</t>
        </is>
      </c>
      <c r="I18" t="inlineStr">
        <is>
          <t>Overhead</t>
        </is>
      </c>
      <c r="J18">
        <f>6500.00</f>
        <v/>
      </c>
    </row>
    <row r="19">
      <c r="B19" t="inlineStr">
        <is>
          <t>01/01/2025</t>
        </is>
      </c>
      <c r="C19" t="inlineStr">
        <is>
          <t>Expense</t>
        </is>
      </c>
      <c r="D19" t="inlineStr"/>
      <c r="E19" t="inlineStr">
        <is>
          <t>Wingtip Workspace</t>
        </is>
      </c>
      <c r="F19" t="inlineStr">
        <is>
          <t>Office rent 2025-01</t>
        </is>
      </c>
      <c r="G19" t="inlineStr">
        <is>
          <t>1010</t>
        </is>
      </c>
      <c r="H19" t="inlineStr">
        <is>
          <t>Northgate Checking 7742</t>
        </is>
      </c>
      <c r="I19" t="inlineStr">
        <is>
          <t>Overhead</t>
        </is>
      </c>
      <c r="K19">
        <f>6500.00</f>
        <v/>
      </c>
    </row>
    <row r="20">
      <c r="A20" t="inlineStr">
        <is>
          <t>Total for T-00006</t>
        </is>
      </c>
      <c r="J20">
        <f>J18</f>
        <v/>
      </c>
      <c r="K20">
        <f>K19</f>
        <v/>
      </c>
    </row>
    <row r="21"/>
    <row r="22">
      <c r="A22" t="inlineStr">
        <is>
          <t>T-00003</t>
        </is>
      </c>
    </row>
    <row r="23">
      <c r="B23" t="inlineStr">
        <is>
          <t>01/02/2025</t>
        </is>
      </c>
      <c r="C23" t="inlineStr">
        <is>
          <t>Check</t>
        </is>
      </c>
      <c r="D23" t="inlineStr"/>
      <c r="E23" t="inlineStr">
        <is>
          <t>Adatum Insurance</t>
        </is>
      </c>
      <c r="F23" t="inlineStr">
        <is>
          <t>12-month general liability policy 2025-01 to 2025-12</t>
        </is>
      </c>
      <c r="G23" t="inlineStr">
        <is>
          <t>1300</t>
        </is>
      </c>
      <c r="H23" t="inlineStr">
        <is>
          <t>Prepaid Insurance</t>
        </is>
      </c>
      <c r="I23" t="inlineStr">
        <is>
          <t>Overhead</t>
        </is>
      </c>
      <c r="J23">
        <f>14400.00</f>
        <v/>
      </c>
    </row>
    <row r="24">
      <c r="B24" t="inlineStr">
        <is>
          <t>01/02/2025</t>
        </is>
      </c>
      <c r="C24" t="inlineStr">
        <is>
          <t>Check</t>
        </is>
      </c>
      <c r="D24" t="inlineStr"/>
      <c r="E24" t="inlineStr">
        <is>
          <t>Adatum Insurance</t>
        </is>
      </c>
      <c r="F24" t="inlineStr">
        <is>
          <t>12-month general liability policy 2025-01 to 2025-12</t>
        </is>
      </c>
      <c r="G24" t="inlineStr">
        <is>
          <t>1010</t>
        </is>
      </c>
      <c r="H24" t="inlineStr">
        <is>
          <t>Northgate Checking 7742</t>
        </is>
      </c>
      <c r="I24" t="inlineStr">
        <is>
          <t>Overhead</t>
        </is>
      </c>
      <c r="K24">
        <f>14400.00</f>
        <v/>
      </c>
    </row>
    <row r="25">
      <c r="A25" t="inlineStr">
        <is>
          <t>Total for T-00003</t>
        </is>
      </c>
      <c r="J25">
        <f>J23</f>
        <v/>
      </c>
      <c r="K25">
        <f>K24</f>
        <v/>
      </c>
    </row>
    <row r="26"/>
    <row r="27">
      <c r="A27" t="inlineStr">
        <is>
          <t>T-00004</t>
        </is>
      </c>
    </row>
    <row r="28">
      <c r="B28" t="inlineStr">
        <is>
          <t>01/02/2025</t>
        </is>
      </c>
      <c r="C28" t="inlineStr">
        <is>
          <t>Deposit</t>
        </is>
      </c>
      <c r="D28" t="inlineStr"/>
      <c r="E28" t="inlineStr">
        <is>
          <t>Harborlight Ventures</t>
        </is>
      </c>
      <c r="F28" t="inlineStr">
        <is>
          <t>SAFE, 8,000,000 post-money cap, no discount</t>
        </is>
      </c>
      <c r="G28" t="inlineStr">
        <is>
          <t>1010</t>
        </is>
      </c>
      <c r="H28" t="inlineStr">
        <is>
          <t>Northgate Checking 7742</t>
        </is>
      </c>
      <c r="I28" t="inlineStr">
        <is>
          <t>Overhead</t>
        </is>
      </c>
      <c r="J28">
        <f>500000.00</f>
        <v/>
      </c>
    </row>
    <row r="29">
      <c r="B29" t="inlineStr">
        <is>
          <t>01/02/2025</t>
        </is>
      </c>
      <c r="C29" t="inlineStr">
        <is>
          <t>Deposit</t>
        </is>
      </c>
      <c r="D29" t="inlineStr"/>
      <c r="E29" t="inlineStr">
        <is>
          <t>Harborlight Ventures</t>
        </is>
      </c>
      <c r="F29" t="inlineStr">
        <is>
          <t>SAFE, 8,000,000 post-money cap, no discount</t>
        </is>
      </c>
      <c r="G29" t="inlineStr">
        <is>
          <t>3300</t>
        </is>
      </c>
      <c r="H29" t="inlineStr">
        <is>
          <t>SAFE - Simple Agreement for Future Equity</t>
        </is>
      </c>
      <c r="I29" t="inlineStr">
        <is>
          <t>Overhead</t>
        </is>
      </c>
      <c r="K29">
        <f>500000.00</f>
        <v/>
      </c>
    </row>
    <row r="30">
      <c r="A30" t="inlineStr">
        <is>
          <t>Total for T-00004</t>
        </is>
      </c>
      <c r="J30">
        <f>J28</f>
        <v/>
      </c>
      <c r="K30">
        <f>K29</f>
        <v/>
      </c>
    </row>
    <row r="31"/>
    <row r="32">
      <c r="A32" t="inlineStr">
        <is>
          <t>T-00030</t>
        </is>
      </c>
    </row>
    <row r="33">
      <c r="B33" t="inlineStr">
        <is>
          <t>01/02/2025</t>
        </is>
      </c>
      <c r="C33" t="inlineStr">
        <is>
          <t>Expense</t>
        </is>
      </c>
      <c r="D33" t="inlineStr"/>
      <c r="E33" t="inlineStr">
        <is>
          <t>Bluepeak Engineering</t>
        </is>
      </c>
      <c r="F33" t="inlineStr">
        <is>
          <t>Bluepeak Engineering invoice 16355</t>
        </is>
      </c>
      <c r="G33" t="inlineStr">
        <is>
          <t>6100</t>
        </is>
      </c>
      <c r="H33" t="inlineStr">
        <is>
          <t>Contract Engineering</t>
        </is>
      </c>
      <c r="I33" t="inlineStr">
        <is>
          <t>Product</t>
        </is>
      </c>
      <c r="J33">
        <f>1721.05</f>
        <v/>
      </c>
    </row>
    <row r="34">
      <c r="B34" t="inlineStr">
        <is>
          <t>01/02/2025</t>
        </is>
      </c>
      <c r="C34" t="inlineStr">
        <is>
          <t>Expense</t>
        </is>
      </c>
      <c r="D34" t="inlineStr"/>
      <c r="E34" t="inlineStr">
        <is>
          <t>Bluepeak Engineering</t>
        </is>
      </c>
      <c r="F34" t="inlineStr">
        <is>
          <t>Bluepeak Engineering invoice 16355</t>
        </is>
      </c>
      <c r="G34" t="inlineStr">
        <is>
          <t>1010</t>
        </is>
      </c>
      <c r="H34" t="inlineStr">
        <is>
          <t>Northgate Checking 7742</t>
        </is>
      </c>
      <c r="I34" t="inlineStr">
        <is>
          <t>Product</t>
        </is>
      </c>
      <c r="K34">
        <f>1721.05</f>
        <v/>
      </c>
    </row>
    <row r="35">
      <c r="A35" t="inlineStr">
        <is>
          <t>Total for T-00030</t>
        </is>
      </c>
      <c r="J35">
        <f>J33</f>
        <v/>
      </c>
      <c r="K35">
        <f>K34</f>
        <v/>
      </c>
    </row>
    <row r="36"/>
    <row r="37">
      <c r="A37" t="inlineStr">
        <is>
          <t>T-00007</t>
        </is>
      </c>
    </row>
    <row r="38">
      <c r="B38" t="inlineStr">
        <is>
          <t>01/04/2025</t>
        </is>
      </c>
      <c r="C38" t="inlineStr">
        <is>
          <t>Credit Card Charge</t>
        </is>
      </c>
      <c r="D38" t="inlineStr"/>
      <c r="E38" t="inlineStr">
        <is>
          <t>Contoso Cloud</t>
        </is>
      </c>
      <c r="F38" t="inlineStr">
        <is>
          <t>Cloud hosting 2025-01</t>
        </is>
      </c>
      <c r="G38" t="inlineStr">
        <is>
          <t>6300</t>
        </is>
      </c>
      <c r="H38" t="inlineStr">
        <is>
          <t>Cloud Hosting</t>
        </is>
      </c>
      <c r="I38" t="inlineStr">
        <is>
          <t>Services</t>
        </is>
      </c>
      <c r="J38">
        <f>2400.00</f>
        <v/>
      </c>
    </row>
    <row r="39">
      <c r="B39" t="inlineStr">
        <is>
          <t>01/04/2025</t>
        </is>
      </c>
      <c r="C39" t="inlineStr">
        <is>
          <t>Credit Card Charge</t>
        </is>
      </c>
      <c r="D39" t="inlineStr"/>
      <c r="E39" t="inlineStr">
        <is>
          <t>Contoso Cloud</t>
        </is>
      </c>
      <c r="F39" t="inlineStr">
        <is>
          <t>Cloud hosting 2025-01</t>
        </is>
      </c>
      <c r="G39" t="inlineStr">
        <is>
          <t>2100</t>
        </is>
      </c>
      <c r="H39" t="inlineStr">
        <is>
          <t>Vantage Card 3391</t>
        </is>
      </c>
      <c r="I39" t="inlineStr">
        <is>
          <t>Services</t>
        </is>
      </c>
      <c r="K39">
        <f>2400.00</f>
        <v/>
      </c>
    </row>
    <row r="40">
      <c r="A40" t="inlineStr">
        <is>
          <t>Total for T-00007</t>
        </is>
      </c>
      <c r="J40">
        <f>J38</f>
        <v/>
      </c>
      <c r="K40">
        <f>K39</f>
        <v/>
      </c>
    </row>
    <row r="41"/>
    <row r="42">
      <c r="A42" t="inlineStr">
        <is>
          <t>T-00023</t>
        </is>
      </c>
    </row>
    <row r="43">
      <c r="B43" t="inlineStr">
        <is>
          <t>01/04/2025</t>
        </is>
      </c>
      <c r="C43" t="inlineStr">
        <is>
          <t>Expense</t>
        </is>
      </c>
      <c r="D43" t="inlineStr"/>
      <c r="E43" t="inlineStr">
        <is>
          <t>Quartz CAD Services</t>
        </is>
      </c>
      <c r="F43" t="inlineStr">
        <is>
          <t>Quartz CAD Services invoice 86072</t>
        </is>
      </c>
      <c r="G43" t="inlineStr">
        <is>
          <t>6100</t>
        </is>
      </c>
      <c r="H43" t="inlineStr">
        <is>
          <t>Contract Engineering</t>
        </is>
      </c>
      <c r="I43" t="inlineStr">
        <is>
          <t>Product</t>
        </is>
      </c>
      <c r="J43">
        <f>794.84</f>
        <v/>
      </c>
    </row>
    <row r="44">
      <c r="B44" t="inlineStr">
        <is>
          <t>01/04/2025</t>
        </is>
      </c>
      <c r="C44" t="inlineStr">
        <is>
          <t>Expense</t>
        </is>
      </c>
      <c r="D44" t="inlineStr"/>
      <c r="E44" t="inlineStr">
        <is>
          <t>Quartz CAD Services</t>
        </is>
      </c>
      <c r="F44" t="inlineStr">
        <is>
          <t>Quartz CAD Services invoice 86072</t>
        </is>
      </c>
      <c r="G44" t="inlineStr">
        <is>
          <t>1010</t>
        </is>
      </c>
      <c r="H44" t="inlineStr">
        <is>
          <t>Northgate Checking 7742</t>
        </is>
      </c>
      <c r="I44" t="inlineStr">
        <is>
          <t>Product</t>
        </is>
      </c>
      <c r="K44">
        <f>794.84</f>
        <v/>
      </c>
    </row>
    <row r="45">
      <c r="A45" t="inlineStr">
        <is>
          <t>Total for T-00023</t>
        </is>
      </c>
      <c r="J45">
        <f>J43</f>
        <v/>
      </c>
      <c r="K45">
        <f>K44</f>
        <v/>
      </c>
    </row>
    <row r="46"/>
    <row r="47">
      <c r="A47" t="inlineStr">
        <is>
          <t>T-00009</t>
        </is>
      </c>
    </row>
    <row r="48">
      <c r="B48" t="inlineStr">
        <is>
          <t>01/05/2025</t>
        </is>
      </c>
      <c r="C48" t="inlineStr">
        <is>
          <t>Expense</t>
        </is>
      </c>
      <c r="D48" t="inlineStr"/>
      <c r="E48" t="inlineStr">
        <is>
          <t>Vantage Card</t>
        </is>
      </c>
      <c r="F48" t="inlineStr">
        <is>
          <t>Vantage card payment</t>
        </is>
      </c>
      <c r="G48" t="inlineStr">
        <is>
          <t>2100</t>
        </is>
      </c>
      <c r="H48" t="inlineStr">
        <is>
          <t>Vantage Card 3391</t>
        </is>
      </c>
      <c r="I48" t="inlineStr">
        <is>
          <t>Overhead</t>
        </is>
      </c>
      <c r="J48">
        <f>4182.65</f>
        <v/>
      </c>
    </row>
    <row r="49">
      <c r="B49" t="inlineStr">
        <is>
          <t>01/05/2025</t>
        </is>
      </c>
      <c r="C49" t="inlineStr">
        <is>
          <t>Expense</t>
        </is>
      </c>
      <c r="D49" t="inlineStr"/>
      <c r="E49" t="inlineStr">
        <is>
          <t>Vantage Card</t>
        </is>
      </c>
      <c r="F49" t="inlineStr">
        <is>
          <t>Vantage card payment</t>
        </is>
      </c>
      <c r="G49" t="inlineStr">
        <is>
          <t>1010</t>
        </is>
      </c>
      <c r="H49" t="inlineStr">
        <is>
          <t>Northgate Checking 7742</t>
        </is>
      </c>
      <c r="I49" t="inlineStr">
        <is>
          <t>Overhead</t>
        </is>
      </c>
      <c r="K49">
        <f>4182.65</f>
        <v/>
      </c>
    </row>
    <row r="50">
      <c r="A50" t="inlineStr">
        <is>
          <t>Total for T-00009</t>
        </is>
      </c>
      <c r="J50">
        <f>J48</f>
        <v/>
      </c>
      <c r="K50">
        <f>K49</f>
        <v/>
      </c>
    </row>
    <row r="51"/>
    <row r="52">
      <c r="A52" t="inlineStr">
        <is>
          <t>T-00010</t>
        </is>
      </c>
    </row>
    <row r="53">
      <c r="B53" t="inlineStr">
        <is>
          <t>01/05/2025</t>
        </is>
      </c>
      <c r="C53" t="inlineStr">
        <is>
          <t>Transfer</t>
        </is>
      </c>
      <c r="D53" t="inlineStr"/>
      <c r="E53" t="inlineStr"/>
      <c r="F53" t="inlineStr">
        <is>
          <t>Transfer to savings</t>
        </is>
      </c>
      <c r="G53" t="inlineStr">
        <is>
          <t>1020</t>
        </is>
      </c>
      <c r="H53" t="inlineStr">
        <is>
          <t>Northgate Savings 7809</t>
        </is>
      </c>
      <c r="I53" t="inlineStr">
        <is>
          <t>Overhead</t>
        </is>
      </c>
      <c r="J53">
        <f>5000.00</f>
        <v/>
      </c>
    </row>
    <row r="54">
      <c r="B54" t="inlineStr">
        <is>
          <t>01/05/2025</t>
        </is>
      </c>
      <c r="C54" t="inlineStr">
        <is>
          <t>Transfer</t>
        </is>
      </c>
      <c r="D54" t="inlineStr"/>
      <c r="E54" t="inlineStr"/>
      <c r="F54" t="inlineStr">
        <is>
          <t>Transfer to savings</t>
        </is>
      </c>
      <c r="G54" t="inlineStr">
        <is>
          <t>1010</t>
        </is>
      </c>
      <c r="H54" t="inlineStr">
        <is>
          <t>Northgate Checking 7742</t>
        </is>
      </c>
      <c r="I54" t="inlineStr">
        <is>
          <t>Overhead</t>
        </is>
      </c>
      <c r="K54">
        <f>5000.00</f>
        <v/>
      </c>
    </row>
    <row r="55">
      <c r="A55" t="inlineStr">
        <is>
          <t>Total for T-00010</t>
        </is>
      </c>
      <c r="J55">
        <f>J53</f>
        <v/>
      </c>
      <c r="K55">
        <f>K54</f>
        <v/>
      </c>
    </row>
    <row r="56"/>
    <row r="57">
      <c r="A57" t="inlineStr">
        <is>
          <t>T-00029</t>
        </is>
      </c>
    </row>
    <row r="58">
      <c r="B58" t="inlineStr">
        <is>
          <t>01/08/2025</t>
        </is>
      </c>
      <c r="C58" t="inlineStr">
        <is>
          <t>Credit Card Charge</t>
        </is>
      </c>
      <c r="D58" t="inlineStr"/>
      <c r="E58" t="inlineStr">
        <is>
          <t>Contoso Cloud</t>
        </is>
      </c>
      <c r="F58" t="inlineStr">
        <is>
          <t>Contoso Cloud 2025-01</t>
        </is>
      </c>
      <c r="G58" t="inlineStr">
        <is>
          <t>6300</t>
        </is>
      </c>
      <c r="H58" t="inlineStr">
        <is>
          <t>Cloud Hosting</t>
        </is>
      </c>
      <c r="I58" t="inlineStr">
        <is>
          <t>Services</t>
        </is>
      </c>
      <c r="J58">
        <f>390.97</f>
        <v/>
      </c>
    </row>
    <row r="59">
      <c r="B59" t="inlineStr">
        <is>
          <t>01/08/2025</t>
        </is>
      </c>
      <c r="C59" t="inlineStr">
        <is>
          <t>Credit Card Charge</t>
        </is>
      </c>
      <c r="D59" t="inlineStr"/>
      <c r="E59" t="inlineStr">
        <is>
          <t>Contoso Cloud</t>
        </is>
      </c>
      <c r="F59" t="inlineStr">
        <is>
          <t>Contoso Cloud 2025-01</t>
        </is>
      </c>
      <c r="G59" t="inlineStr">
        <is>
          <t>2100</t>
        </is>
      </c>
      <c r="H59" t="inlineStr">
        <is>
          <t>Vantage Card 3391</t>
        </is>
      </c>
      <c r="I59" t="inlineStr">
        <is>
          <t>Services</t>
        </is>
      </c>
      <c r="K59">
        <f>390.97</f>
        <v/>
      </c>
    </row>
    <row r="60">
      <c r="A60" t="inlineStr">
        <is>
          <t>Total for T-00029</t>
        </is>
      </c>
      <c r="J60">
        <f>J58</f>
        <v/>
      </c>
      <c r="K60">
        <f>K59</f>
        <v/>
      </c>
    </row>
    <row r="61"/>
    <row r="62">
      <c r="A62" t="inlineStr">
        <is>
          <t>T-00011</t>
        </is>
      </c>
    </row>
    <row r="63">
      <c r="B63" t="inlineStr">
        <is>
          <t>01/10/2025</t>
        </is>
      </c>
      <c r="C63" t="inlineStr">
        <is>
          <t>Invoice</t>
        </is>
      </c>
      <c r="D63" t="inlineStr">
        <is>
          <t>INV-1000</t>
        </is>
      </c>
      <c r="E63" t="inlineStr">
        <is>
          <t>Volt Dynamics Inc</t>
        </is>
      </c>
      <c r="F63" t="inlineStr">
        <is>
          <t>INV-1000 robot cell</t>
        </is>
      </c>
      <c r="G63" t="inlineStr">
        <is>
          <t>1100</t>
        </is>
      </c>
      <c r="H63" t="inlineStr">
        <is>
          <t>Accounts Receivable</t>
        </is>
      </c>
      <c r="I63" t="inlineStr">
        <is>
          <t>Product</t>
        </is>
      </c>
      <c r="J63">
        <f>29266.31</f>
        <v/>
      </c>
    </row>
    <row r="64">
      <c r="B64" t="inlineStr">
        <is>
          <t>01/10/2025</t>
        </is>
      </c>
      <c r="C64" t="inlineStr">
        <is>
          <t>Invoice</t>
        </is>
      </c>
      <c r="D64" t="inlineStr">
        <is>
          <t>INV-1000</t>
        </is>
      </c>
      <c r="E64" t="inlineStr">
        <is>
          <t>Volt Dynamics Inc</t>
        </is>
      </c>
      <c r="F64" t="inlineStr">
        <is>
          <t>INV-1000 robot cell</t>
        </is>
      </c>
      <c r="G64" t="inlineStr">
        <is>
          <t>4000</t>
        </is>
      </c>
      <c r="H64" t="inlineStr">
        <is>
          <t>Product Revenue</t>
        </is>
      </c>
      <c r="I64" t="inlineStr">
        <is>
          <t>Product</t>
        </is>
      </c>
      <c r="K64">
        <f>29266.31</f>
        <v/>
      </c>
    </row>
    <row r="65">
      <c r="A65" t="inlineStr">
        <is>
          <t>Total for T-00011</t>
        </is>
      </c>
      <c r="J65">
        <f>J63</f>
        <v/>
      </c>
      <c r="K65">
        <f>K64</f>
        <v/>
      </c>
    </row>
    <row r="66"/>
    <row r="67">
      <c r="A67" t="inlineStr">
        <is>
          <t>T-00012</t>
        </is>
      </c>
    </row>
    <row r="68">
      <c r="B68" t="inlineStr">
        <is>
          <t>01/10/2025</t>
        </is>
      </c>
      <c r="C68" t="inlineStr">
        <is>
          <t>Invoice</t>
        </is>
      </c>
      <c r="D68" t="inlineStr">
        <is>
          <t>INV-1001</t>
        </is>
      </c>
      <c r="E68" t="inlineStr">
        <is>
          <t>Volt Dynamics Inc</t>
        </is>
      </c>
      <c r="F68" t="inlineStr">
        <is>
          <t>INV-1001 support plan</t>
        </is>
      </c>
      <c r="G68" t="inlineStr">
        <is>
          <t>1100</t>
        </is>
      </c>
      <c r="H68" t="inlineStr">
        <is>
          <t>Accounts Receivable</t>
        </is>
      </c>
      <c r="I68" t="inlineStr">
        <is>
          <t>Services</t>
        </is>
      </c>
      <c r="J68">
        <f>6500.00</f>
        <v/>
      </c>
    </row>
    <row r="69">
      <c r="B69" t="inlineStr">
        <is>
          <t>01/10/2025</t>
        </is>
      </c>
      <c r="C69" t="inlineStr">
        <is>
          <t>Invoice</t>
        </is>
      </c>
      <c r="D69" t="inlineStr">
        <is>
          <t>INV-1001</t>
        </is>
      </c>
      <c r="E69" t="inlineStr">
        <is>
          <t>Volt Dynamics Inc</t>
        </is>
      </c>
      <c r="F69" t="inlineStr">
        <is>
          <t>INV-1001 support plan</t>
        </is>
      </c>
      <c r="G69" t="inlineStr">
        <is>
          <t>4100</t>
        </is>
      </c>
      <c r="H69" t="inlineStr">
        <is>
          <t>Service Revenue</t>
        </is>
      </c>
      <c r="I69" t="inlineStr">
        <is>
          <t>Services</t>
        </is>
      </c>
      <c r="K69">
        <f>6500.00</f>
        <v/>
      </c>
    </row>
    <row r="70">
      <c r="A70" t="inlineStr">
        <is>
          <t>Total for T-00012</t>
        </is>
      </c>
      <c r="J70">
        <f>J68</f>
        <v/>
      </c>
      <c r="K70">
        <f>K69</f>
        <v/>
      </c>
    </row>
    <row r="71"/>
    <row r="72">
      <c r="A72" t="inlineStr">
        <is>
          <t>T-00020</t>
        </is>
      </c>
    </row>
    <row r="73">
      <c r="B73" t="inlineStr">
        <is>
          <t>01/11/2025</t>
        </is>
      </c>
      <c r="C73" t="inlineStr">
        <is>
          <t>Expense</t>
        </is>
      </c>
      <c r="D73" t="inlineStr"/>
      <c r="E73" t="inlineStr">
        <is>
          <t>Redwood Prototyping</t>
        </is>
      </c>
      <c r="F73" t="inlineStr">
        <is>
          <t>Redwood Prototyping invoice 32277</t>
        </is>
      </c>
      <c r="G73" t="inlineStr">
        <is>
          <t>6100</t>
        </is>
      </c>
      <c r="H73" t="inlineStr">
        <is>
          <t>Contract Engineering</t>
        </is>
      </c>
      <c r="I73" t="inlineStr">
        <is>
          <t>Product</t>
        </is>
      </c>
      <c r="J73">
        <f>880.56</f>
        <v/>
      </c>
    </row>
    <row r="74">
      <c r="B74" t="inlineStr">
        <is>
          <t>01/11/2025</t>
        </is>
      </c>
      <c r="C74" t="inlineStr">
        <is>
          <t>Expense</t>
        </is>
      </c>
      <c r="D74" t="inlineStr"/>
      <c r="E74" t="inlineStr">
        <is>
          <t>Redwood Prototyping</t>
        </is>
      </c>
      <c r="F74" t="inlineStr">
        <is>
          <t>Redwood Prototyping invoice 32277</t>
        </is>
      </c>
      <c r="G74" t="inlineStr">
        <is>
          <t>1010</t>
        </is>
      </c>
      <c r="H74" t="inlineStr">
        <is>
          <t>Northgate Checking 7742</t>
        </is>
      </c>
      <c r="I74" t="inlineStr">
        <is>
          <t>Product</t>
        </is>
      </c>
      <c r="K74">
        <f>880.56</f>
        <v/>
      </c>
    </row>
    <row r="75">
      <c r="A75" t="inlineStr">
        <is>
          <t>Total for T-00020</t>
        </is>
      </c>
      <c r="J75">
        <f>J73</f>
        <v/>
      </c>
      <c r="K75">
        <f>K74</f>
        <v/>
      </c>
    </row>
    <row r="76"/>
    <row r="77">
      <c r="A77" t="inlineStr">
        <is>
          <t>T-00027</t>
        </is>
      </c>
    </row>
    <row r="78">
      <c r="B78" t="inlineStr">
        <is>
          <t>01/12/2025</t>
        </is>
      </c>
      <c r="C78" t="inlineStr">
        <is>
          <t>Expense</t>
        </is>
      </c>
      <c r="D78" t="inlineStr"/>
      <c r="E78" t="inlineStr">
        <is>
          <t>Quartz CAD Services</t>
        </is>
      </c>
      <c r="F78" t="inlineStr">
        <is>
          <t>Quartz CAD Services invoice 13255</t>
        </is>
      </c>
      <c r="G78" t="inlineStr">
        <is>
          <t>6100</t>
        </is>
      </c>
      <c r="H78" t="inlineStr">
        <is>
          <t>Contract Engineering</t>
        </is>
      </c>
      <c r="I78" t="inlineStr">
        <is>
          <t>Product</t>
        </is>
      </c>
      <c r="J78">
        <f>241.18</f>
        <v/>
      </c>
    </row>
    <row r="79">
      <c r="B79" t="inlineStr">
        <is>
          <t>01/12/2025</t>
        </is>
      </c>
      <c r="C79" t="inlineStr">
        <is>
          <t>Expense</t>
        </is>
      </c>
      <c r="D79" t="inlineStr"/>
      <c r="E79" t="inlineStr">
        <is>
          <t>Quartz CAD Services</t>
        </is>
      </c>
      <c r="F79" t="inlineStr">
        <is>
          <t>Quartz CAD Services invoice 13255</t>
        </is>
      </c>
      <c r="G79" t="inlineStr">
        <is>
          <t>1010</t>
        </is>
      </c>
      <c r="H79" t="inlineStr">
        <is>
          <t>Northgate Checking 7742</t>
        </is>
      </c>
      <c r="I79" t="inlineStr">
        <is>
          <t>Product</t>
        </is>
      </c>
      <c r="K79">
        <f>241.18</f>
        <v/>
      </c>
    </row>
    <row r="80">
      <c r="A80" t="inlineStr">
        <is>
          <t>Total for T-00027</t>
        </is>
      </c>
      <c r="J80">
        <f>J78</f>
        <v/>
      </c>
      <c r="K80">
        <f>K79</f>
        <v/>
      </c>
    </row>
    <row r="81"/>
    <row r="82">
      <c r="A82" t="inlineStr">
        <is>
          <t>T-00005</t>
        </is>
      </c>
    </row>
    <row r="83">
      <c r="B83" t="inlineStr">
        <is>
          <t>01/15/2025</t>
        </is>
      </c>
      <c r="C83" t="inlineStr">
        <is>
          <t>Check</t>
        </is>
      </c>
      <c r="D83" t="inlineStr"/>
      <c r="E83" t="inlineStr">
        <is>
          <t>Orion Design Works</t>
        </is>
      </c>
      <c r="F83" t="inlineStr">
        <is>
          <t>Perpetual design license, 60-month life</t>
        </is>
      </c>
      <c r="G83" t="inlineStr">
        <is>
          <t>1600</t>
        </is>
      </c>
      <c r="H83" t="inlineStr">
        <is>
          <t>Intangible Assets - Design License</t>
        </is>
      </c>
      <c r="I83" t="inlineStr">
        <is>
          <t>Product</t>
        </is>
      </c>
      <c r="J83">
        <f>60000.00</f>
        <v/>
      </c>
    </row>
    <row r="84">
      <c r="B84" t="inlineStr">
        <is>
          <t>01/15/2025</t>
        </is>
      </c>
      <c r="C84" t="inlineStr">
        <is>
          <t>Check</t>
        </is>
      </c>
      <c r="D84" t="inlineStr"/>
      <c r="E84" t="inlineStr">
        <is>
          <t>Orion Design Works</t>
        </is>
      </c>
      <c r="F84" t="inlineStr">
        <is>
          <t>Perpetual design license, 60-month life</t>
        </is>
      </c>
      <c r="G84" t="inlineStr">
        <is>
          <t>1010</t>
        </is>
      </c>
      <c r="H84" t="inlineStr">
        <is>
          <t>Northgate Checking 7742</t>
        </is>
      </c>
      <c r="I84" t="inlineStr">
        <is>
          <t>Product</t>
        </is>
      </c>
      <c r="K84">
        <f>60000.00</f>
        <v/>
      </c>
    </row>
    <row r="85">
      <c r="A85" t="inlineStr">
        <is>
          <t>Total for T-00005</t>
        </is>
      </c>
      <c r="J85">
        <f>J83</f>
        <v/>
      </c>
      <c r="K85">
        <f>K84</f>
        <v/>
      </c>
    </row>
    <row r="86"/>
    <row r="87">
      <c r="A87" t="inlineStr">
        <is>
          <t>T-00014</t>
        </is>
      </c>
    </row>
    <row r="88">
      <c r="B88" t="inlineStr">
        <is>
          <t>01/15/2025</t>
        </is>
      </c>
      <c r="C88" t="inlineStr">
        <is>
          <t>Expense</t>
        </is>
      </c>
      <c r="D88" t="inlineStr"/>
      <c r="E88" t="inlineStr">
        <is>
          <t>Proseware Payroll</t>
        </is>
      </c>
      <c r="F88" t="inlineStr">
        <is>
          <t>Payroll 2025-01-15 gross wages</t>
        </is>
      </c>
      <c r="G88" t="inlineStr">
        <is>
          <t>6000</t>
        </is>
      </c>
      <c r="H88" t="inlineStr">
        <is>
          <t>Salaries and Wages</t>
        </is>
      </c>
      <c r="I88" t="inlineStr">
        <is>
          <t>Overhead</t>
        </is>
      </c>
      <c r="J88">
        <f>19000.00</f>
        <v/>
      </c>
    </row>
    <row r="89">
      <c r="B89" t="inlineStr">
        <is>
          <t>01/15/2025</t>
        </is>
      </c>
      <c r="C89" t="inlineStr">
        <is>
          <t>Expense</t>
        </is>
      </c>
      <c r="D89" t="inlineStr"/>
      <c r="E89" t="inlineStr">
        <is>
          <t>Proseware Payroll</t>
        </is>
      </c>
      <c r="F89" t="inlineStr">
        <is>
          <t>Payroll 2025-01-15 employer taxes</t>
        </is>
      </c>
      <c r="G89" t="inlineStr">
        <is>
          <t>6010</t>
        </is>
      </c>
      <c r="H89" t="inlineStr">
        <is>
          <t>Payroll Taxes</t>
        </is>
      </c>
      <c r="I89" t="inlineStr">
        <is>
          <t>Overhead</t>
        </is>
      </c>
      <c r="J89">
        <f>1453.50</f>
        <v/>
      </c>
    </row>
    <row r="90">
      <c r="B90" t="inlineStr">
        <is>
          <t>01/15/2025</t>
        </is>
      </c>
      <c r="C90" t="inlineStr">
        <is>
          <t>Expense</t>
        </is>
      </c>
      <c r="D90" t="inlineStr"/>
      <c r="E90" t="inlineStr">
        <is>
          <t>Proseware Payroll</t>
        </is>
      </c>
      <c r="F90" t="inlineStr">
        <is>
          <t>Proseware payroll debit 2025-01-15</t>
        </is>
      </c>
      <c r="G90" t="inlineStr">
        <is>
          <t>1010</t>
        </is>
      </c>
      <c r="H90" t="inlineStr">
        <is>
          <t>Northgate Checking 7742</t>
        </is>
      </c>
      <c r="I90" t="inlineStr">
        <is>
          <t>Overhead</t>
        </is>
      </c>
      <c r="K90">
        <f>20453.50</f>
        <v/>
      </c>
    </row>
    <row r="91">
      <c r="A91" t="inlineStr">
        <is>
          <t>Total for T-00014</t>
        </is>
      </c>
      <c r="J91">
        <f>J88+J89</f>
        <v/>
      </c>
      <c r="K91">
        <f>K90</f>
        <v/>
      </c>
    </row>
    <row r="92"/>
    <row r="93">
      <c r="A93" t="inlineStr">
        <is>
          <t>T-00016</t>
        </is>
      </c>
    </row>
    <row r="94">
      <c r="B94" t="inlineStr">
        <is>
          <t>01/15/2025</t>
        </is>
      </c>
      <c r="C94" t="inlineStr">
        <is>
          <t>Deposit</t>
        </is>
      </c>
      <c r="D94" t="inlineStr"/>
      <c r="E94" t="inlineStr">
        <is>
          <t>Paylane</t>
        </is>
      </c>
      <c r="F94" t="inlineStr">
        <is>
          <t>Paylane payout 2025-01 #1</t>
        </is>
      </c>
      <c r="G94" t="inlineStr">
        <is>
          <t>1010</t>
        </is>
      </c>
      <c r="H94" t="inlineStr">
        <is>
          <t>Northgate Checking 7742</t>
        </is>
      </c>
      <c r="I94" t="inlineStr">
        <is>
          <t>Product</t>
        </is>
      </c>
      <c r="J94">
        <f>12460.27</f>
        <v/>
      </c>
    </row>
    <row r="95">
      <c r="B95" t="inlineStr">
        <is>
          <t>01/15/2025</t>
        </is>
      </c>
      <c r="C95" t="inlineStr">
        <is>
          <t>Deposit</t>
        </is>
      </c>
      <c r="D95" t="inlineStr"/>
      <c r="E95" t="inlineStr">
        <is>
          <t>Paylane</t>
        </is>
      </c>
      <c r="F95" t="inlineStr">
        <is>
          <t>Paylane payout 2025-01 #1</t>
        </is>
      </c>
      <c r="G95" t="inlineStr">
        <is>
          <t>1200</t>
        </is>
      </c>
      <c r="H95" t="inlineStr">
        <is>
          <t>Paylane Clearing</t>
        </is>
      </c>
      <c r="I95" t="inlineStr">
        <is>
          <t>Product</t>
        </is>
      </c>
      <c r="K95">
        <f>12460.27</f>
        <v/>
      </c>
    </row>
    <row r="96">
      <c r="A96" t="inlineStr">
        <is>
          <t>Total for T-00016</t>
        </is>
      </c>
      <c r="J96">
        <f>J94</f>
        <v/>
      </c>
      <c r="K96">
        <f>K95</f>
        <v/>
      </c>
    </row>
    <row r="97"/>
    <row r="98">
      <c r="A98" t="inlineStr">
        <is>
          <t>T-00025</t>
        </is>
      </c>
    </row>
    <row r="99">
      <c r="B99" t="inlineStr">
        <is>
          <t>01/16/2025</t>
        </is>
      </c>
      <c r="C99" t="inlineStr">
        <is>
          <t>Credit Card Charge</t>
        </is>
      </c>
      <c r="D99" t="inlineStr"/>
      <c r="E99" t="inlineStr">
        <is>
          <t>Lumina Ads</t>
        </is>
      </c>
      <c r="F99" t="inlineStr">
        <is>
          <t>Lumina Ads 2025-01</t>
        </is>
      </c>
      <c r="G99" t="inlineStr">
        <is>
          <t>6600</t>
        </is>
      </c>
      <c r="H99" t="inlineStr">
        <is>
          <t>Marketing and Advertising</t>
        </is>
      </c>
      <c r="I99" t="inlineStr">
        <is>
          <t>Overhead</t>
        </is>
      </c>
      <c r="J99">
        <f>1138.72</f>
        <v/>
      </c>
    </row>
    <row r="100">
      <c r="B100" t="inlineStr">
        <is>
          <t>01/16/2025</t>
        </is>
      </c>
      <c r="C100" t="inlineStr">
        <is>
          <t>Credit Card Charge</t>
        </is>
      </c>
      <c r="D100" t="inlineStr"/>
      <c r="E100" t="inlineStr">
        <is>
          <t>Lumina Ads</t>
        </is>
      </c>
      <c r="F100" t="inlineStr">
        <is>
          <t>Lumina Ads 2025-01</t>
        </is>
      </c>
      <c r="G100" t="inlineStr">
        <is>
          <t>2100</t>
        </is>
      </c>
      <c r="H100" t="inlineStr">
        <is>
          <t>Vantage Card 3391</t>
        </is>
      </c>
      <c r="I100" t="inlineStr">
        <is>
          <t>Overhead</t>
        </is>
      </c>
      <c r="K100">
        <f>1138.72</f>
        <v/>
      </c>
    </row>
    <row r="101">
      <c r="A101" t="inlineStr">
        <is>
          <t>Total for T-00025</t>
        </is>
      </c>
      <c r="J101">
        <f>J99</f>
        <v/>
      </c>
      <c r="K101">
        <f>K100</f>
        <v/>
      </c>
    </row>
    <row r="102"/>
    <row r="103">
      <c r="A103" t="inlineStr">
        <is>
          <t>T-00021</t>
        </is>
      </c>
    </row>
    <row r="104">
      <c r="B104" t="inlineStr">
        <is>
          <t>01/17/2025</t>
        </is>
      </c>
      <c r="C104" t="inlineStr">
        <is>
          <t>Credit Card Charge</t>
        </is>
      </c>
      <c r="D104" t="inlineStr"/>
      <c r="E104" t="inlineStr">
        <is>
          <t>Tailspin Tools</t>
        </is>
      </c>
      <c r="F104" t="inlineStr">
        <is>
          <t>Tailspin Tools 2025-01</t>
        </is>
      </c>
      <c r="G104" t="inlineStr">
        <is>
          <t>6200</t>
        </is>
      </c>
      <c r="H104" t="inlineStr">
        <is>
          <t>Software Subscriptions</t>
        </is>
      </c>
      <c r="I104" t="inlineStr">
        <is>
          <t>Overhead</t>
        </is>
      </c>
      <c r="J104">
        <f>105.26</f>
        <v/>
      </c>
    </row>
    <row r="105">
      <c r="B105" t="inlineStr">
        <is>
          <t>01/17/2025</t>
        </is>
      </c>
      <c r="C105" t="inlineStr">
        <is>
          <t>Credit Card Charge</t>
        </is>
      </c>
      <c r="D105" t="inlineStr"/>
      <c r="E105" t="inlineStr">
        <is>
          <t>Tailspin Tools</t>
        </is>
      </c>
      <c r="F105" t="inlineStr">
        <is>
          <t>Tailspin Tools 2025-01</t>
        </is>
      </c>
      <c r="G105" t="inlineStr">
        <is>
          <t>2100</t>
        </is>
      </c>
      <c r="H105" t="inlineStr">
        <is>
          <t>Vantage Card 3391</t>
        </is>
      </c>
      <c r="I105" t="inlineStr">
        <is>
          <t>Overhead</t>
        </is>
      </c>
      <c r="K105">
        <f>105.26</f>
        <v/>
      </c>
    </row>
    <row r="106">
      <c r="A106" t="inlineStr">
        <is>
          <t>Total for T-00021</t>
        </is>
      </c>
      <c r="J106">
        <f>J104</f>
        <v/>
      </c>
      <c r="K106">
        <f>K105</f>
        <v/>
      </c>
    </row>
    <row r="107"/>
    <row r="108">
      <c r="A108" t="inlineStr">
        <is>
          <t>T-00019</t>
        </is>
      </c>
    </row>
    <row r="109">
      <c r="B109" t="inlineStr">
        <is>
          <t>01/18/2025</t>
        </is>
      </c>
      <c r="C109" t="inlineStr">
        <is>
          <t>Expense</t>
        </is>
      </c>
      <c r="D109" t="inlineStr"/>
      <c r="E109" t="inlineStr">
        <is>
          <t>Trey Research</t>
        </is>
      </c>
      <c r="F109" t="inlineStr">
        <is>
          <t>Trey Research monthly engagement</t>
        </is>
      </c>
      <c r="G109" t="inlineStr">
        <is>
          <t>6100</t>
        </is>
      </c>
      <c r="H109" t="inlineStr">
        <is>
          <t>Contract Engineering</t>
        </is>
      </c>
      <c r="I109" t="inlineStr">
        <is>
          <t>Product</t>
        </is>
      </c>
      <c r="J109">
        <f>3733.92</f>
        <v/>
      </c>
    </row>
    <row r="110">
      <c r="B110" t="inlineStr">
        <is>
          <t>01/18/2025</t>
        </is>
      </c>
      <c r="C110" t="inlineStr">
        <is>
          <t>Expense</t>
        </is>
      </c>
      <c r="D110" t="inlineStr"/>
      <c r="E110" t="inlineStr">
        <is>
          <t>Trey Research</t>
        </is>
      </c>
      <c r="F110" t="inlineStr">
        <is>
          <t>Trey Research monthly engagement</t>
        </is>
      </c>
      <c r="G110" t="inlineStr">
        <is>
          <t>1010</t>
        </is>
      </c>
      <c r="H110" t="inlineStr">
        <is>
          <t>Northgate Checking 7742</t>
        </is>
      </c>
      <c r="I110" t="inlineStr">
        <is>
          <t>Product</t>
        </is>
      </c>
      <c r="K110">
        <f>3733.92</f>
        <v/>
      </c>
    </row>
    <row r="111">
      <c r="A111" t="inlineStr">
        <is>
          <t>Total for T-00019</t>
        </is>
      </c>
      <c r="J111">
        <f>J109</f>
        <v/>
      </c>
      <c r="K111">
        <f>K110</f>
        <v/>
      </c>
    </row>
    <row r="112"/>
    <row r="113">
      <c r="A113" t="inlineStr">
        <is>
          <t>T-00024</t>
        </is>
      </c>
    </row>
    <row r="114">
      <c r="B114" t="inlineStr">
        <is>
          <t>01/18/2025</t>
        </is>
      </c>
      <c r="C114" t="inlineStr">
        <is>
          <t>Credit Card Charge</t>
        </is>
      </c>
      <c r="D114" t="inlineStr"/>
      <c r="E114" t="inlineStr">
        <is>
          <t>Cascade Office</t>
        </is>
      </c>
      <c r="F114" t="inlineStr">
        <is>
          <t>Cascade Office 2025-01</t>
        </is>
      </c>
      <c r="G114" t="inlineStr">
        <is>
          <t>6700</t>
        </is>
      </c>
      <c r="H114" t="inlineStr">
        <is>
          <t>Office Supplies</t>
        </is>
      </c>
      <c r="I114" t="inlineStr">
        <is>
          <t>Overhead</t>
        </is>
      </c>
      <c r="J114">
        <f>173.16</f>
        <v/>
      </c>
    </row>
    <row r="115">
      <c r="B115" t="inlineStr">
        <is>
          <t>01/18/2025</t>
        </is>
      </c>
      <c r="C115" t="inlineStr">
        <is>
          <t>Credit Card Charge</t>
        </is>
      </c>
      <c r="D115" t="inlineStr"/>
      <c r="E115" t="inlineStr">
        <is>
          <t>Cascade Office</t>
        </is>
      </c>
      <c r="F115" t="inlineStr">
        <is>
          <t>Cascade Office 2025-01</t>
        </is>
      </c>
      <c r="G115" t="inlineStr">
        <is>
          <t>2100</t>
        </is>
      </c>
      <c r="H115" t="inlineStr">
        <is>
          <t>Vantage Card 3391</t>
        </is>
      </c>
      <c r="I115" t="inlineStr">
        <is>
          <t>Overhead</t>
        </is>
      </c>
      <c r="K115">
        <f>173.16</f>
        <v/>
      </c>
    </row>
    <row r="116">
      <c r="A116" t="inlineStr">
        <is>
          <t>Total for T-00024</t>
        </is>
      </c>
      <c r="J116">
        <f>J114</f>
        <v/>
      </c>
      <c r="K116">
        <f>K115</f>
        <v/>
      </c>
    </row>
    <row r="117"/>
    <row r="118">
      <c r="A118" t="inlineStr">
        <is>
          <t>T-00028</t>
        </is>
      </c>
    </row>
    <row r="119">
      <c r="B119" t="inlineStr">
        <is>
          <t>01/19/2025</t>
        </is>
      </c>
      <c r="C119" t="inlineStr">
        <is>
          <t>Expense</t>
        </is>
      </c>
      <c r="D119" t="inlineStr"/>
      <c r="E119" t="inlineStr">
        <is>
          <t>Redwood Prototyping</t>
        </is>
      </c>
      <c r="F119" t="inlineStr">
        <is>
          <t>Redwood Prototyping invoice 77466</t>
        </is>
      </c>
      <c r="G119" t="inlineStr">
        <is>
          <t>6100</t>
        </is>
      </c>
      <c r="H119" t="inlineStr">
        <is>
          <t>Contract Engineering</t>
        </is>
      </c>
      <c r="I119" t="inlineStr">
        <is>
          <t>Product</t>
        </is>
      </c>
      <c r="J119">
        <f>1051.47</f>
        <v/>
      </c>
    </row>
    <row r="120">
      <c r="B120" t="inlineStr">
        <is>
          <t>01/19/2025</t>
        </is>
      </c>
      <c r="C120" t="inlineStr">
        <is>
          <t>Expense</t>
        </is>
      </c>
      <c r="D120" t="inlineStr"/>
      <c r="E120" t="inlineStr">
        <is>
          <t>Redwood Prototyping</t>
        </is>
      </c>
      <c r="F120" t="inlineStr">
        <is>
          <t>Redwood Prototyping invoice 77466</t>
        </is>
      </c>
      <c r="G120" t="inlineStr">
        <is>
          <t>1010</t>
        </is>
      </c>
      <c r="H120" t="inlineStr">
        <is>
          <t>Northgate Checking 7742</t>
        </is>
      </c>
      <c r="I120" t="inlineStr">
        <is>
          <t>Product</t>
        </is>
      </c>
      <c r="K120">
        <f>1051.47</f>
        <v/>
      </c>
    </row>
    <row r="121">
      <c r="A121" t="inlineStr">
        <is>
          <t>Total for T-00028</t>
        </is>
      </c>
      <c r="J121">
        <f>J119</f>
        <v/>
      </c>
      <c r="K121">
        <f>K120</f>
        <v/>
      </c>
    </row>
    <row r="122"/>
    <row r="123">
      <c r="A123" t="inlineStr">
        <is>
          <t>T-00032</t>
        </is>
      </c>
    </row>
    <row r="124">
      <c r="B124" t="inlineStr">
        <is>
          <t>01/19/2025</t>
        </is>
      </c>
      <c r="C124" t="inlineStr">
        <is>
          <t>Credit Card Charge</t>
        </is>
      </c>
      <c r="D124" t="inlineStr"/>
      <c r="E124" t="inlineStr">
        <is>
          <t>Cascade Office</t>
        </is>
      </c>
      <c r="F124" t="inlineStr">
        <is>
          <t>Cascade Office 2025-01</t>
        </is>
      </c>
      <c r="G124" t="inlineStr">
        <is>
          <t>6700</t>
        </is>
      </c>
      <c r="H124" t="inlineStr">
        <is>
          <t>Office Supplies</t>
        </is>
      </c>
      <c r="I124" t="inlineStr">
        <is>
          <t>Overhead</t>
        </is>
      </c>
      <c r="J124">
        <f>166.82</f>
        <v/>
      </c>
    </row>
    <row r="125">
      <c r="B125" t="inlineStr">
        <is>
          <t>01/19/2025</t>
        </is>
      </c>
      <c r="C125" t="inlineStr">
        <is>
          <t>Credit Card Charge</t>
        </is>
      </c>
      <c r="D125" t="inlineStr"/>
      <c r="E125" t="inlineStr">
        <is>
          <t>Cascade Office</t>
        </is>
      </c>
      <c r="F125" t="inlineStr">
        <is>
          <t>Cascade Office 2025-01</t>
        </is>
      </c>
      <c r="G125" t="inlineStr">
        <is>
          <t>2100</t>
        </is>
      </c>
      <c r="H125" t="inlineStr">
        <is>
          <t>Vantage Card 3391</t>
        </is>
      </c>
      <c r="I125" t="inlineStr">
        <is>
          <t>Overhead</t>
        </is>
      </c>
      <c r="K125">
        <f>166.82</f>
        <v/>
      </c>
    </row>
    <row r="126">
      <c r="A126" t="inlineStr">
        <is>
          <t>Total for T-00032</t>
        </is>
      </c>
      <c r="J126">
        <f>J124</f>
        <v/>
      </c>
      <c r="K126">
        <f>K125</f>
        <v/>
      </c>
    </row>
    <row r="127"/>
    <row r="128">
      <c r="A128" t="inlineStr">
        <is>
          <t>T-00013</t>
        </is>
      </c>
    </row>
    <row r="129">
      <c r="B129" t="inlineStr">
        <is>
          <t>01/20/2025</t>
        </is>
      </c>
      <c r="C129" t="inlineStr">
        <is>
          <t>Bill</t>
        </is>
      </c>
      <c r="D129" t="inlineStr">
        <is>
          <t>NWS-4400</t>
        </is>
      </c>
      <c r="E129" t="inlineStr">
        <is>
          <t>Northwind Supply</t>
        </is>
      </c>
      <c r="F129" t="inlineStr">
        <is>
          <t>NWS-4400 components</t>
        </is>
      </c>
      <c r="G129" t="inlineStr">
        <is>
          <t>5000</t>
        </is>
      </c>
      <c r="H129" t="inlineStr">
        <is>
          <t>Cost of Goods Sold - Components</t>
        </is>
      </c>
      <c r="I129" t="inlineStr">
        <is>
          <t>Product</t>
        </is>
      </c>
      <c r="J129">
        <f>9231.03</f>
        <v/>
      </c>
    </row>
    <row r="130">
      <c r="B130" t="inlineStr">
        <is>
          <t>01/20/2025</t>
        </is>
      </c>
      <c r="C130" t="inlineStr">
        <is>
          <t>Bill</t>
        </is>
      </c>
      <c r="D130" t="inlineStr">
        <is>
          <t>NWS-4400</t>
        </is>
      </c>
      <c r="E130" t="inlineStr">
        <is>
          <t>Northwind Supply</t>
        </is>
      </c>
      <c r="F130" t="inlineStr">
        <is>
          <t>NWS-4400 components</t>
        </is>
      </c>
      <c r="G130" t="inlineStr">
        <is>
          <t>2010</t>
        </is>
      </c>
      <c r="H130" t="inlineStr">
        <is>
          <t>Accounts Payable</t>
        </is>
      </c>
      <c r="I130" t="inlineStr">
        <is>
          <t>Product</t>
        </is>
      </c>
      <c r="K130">
        <f>9231.03</f>
        <v/>
      </c>
    </row>
    <row r="131">
      <c r="A131" t="inlineStr">
        <is>
          <t>Total for T-00013</t>
        </is>
      </c>
      <c r="J131">
        <f>J129</f>
        <v/>
      </c>
      <c r="K131">
        <f>K130</f>
        <v/>
      </c>
    </row>
    <row r="132"/>
    <row r="133">
      <c r="A133" t="inlineStr">
        <is>
          <t>T-00026</t>
        </is>
      </c>
    </row>
    <row r="134">
      <c r="B134" t="inlineStr">
        <is>
          <t>01/21/2025</t>
        </is>
      </c>
      <c r="C134" t="inlineStr">
        <is>
          <t>Expense</t>
        </is>
      </c>
      <c r="D134" t="inlineStr"/>
      <c r="E134" t="inlineStr">
        <is>
          <t>Litware Legal</t>
        </is>
      </c>
      <c r="F134" t="inlineStr">
        <is>
          <t>Litware Legal invoice 22580</t>
        </is>
      </c>
      <c r="G134" t="inlineStr">
        <is>
          <t>6800</t>
        </is>
      </c>
      <c r="H134" t="inlineStr">
        <is>
          <t>Professional Fees</t>
        </is>
      </c>
      <c r="I134" t="inlineStr">
        <is>
          <t>Overhead</t>
        </is>
      </c>
      <c r="J134">
        <f>806.75</f>
        <v/>
      </c>
    </row>
    <row r="135">
      <c r="B135" t="inlineStr">
        <is>
          <t>01/21/2025</t>
        </is>
      </c>
      <c r="C135" t="inlineStr">
        <is>
          <t>Expense</t>
        </is>
      </c>
      <c r="D135" t="inlineStr"/>
      <c r="E135" t="inlineStr">
        <is>
          <t>Litware Legal</t>
        </is>
      </c>
      <c r="F135" t="inlineStr">
        <is>
          <t>Litware Legal invoice 22580</t>
        </is>
      </c>
      <c r="G135" t="inlineStr">
        <is>
          <t>1010</t>
        </is>
      </c>
      <c r="H135" t="inlineStr">
        <is>
          <t>Northgate Checking 7742</t>
        </is>
      </c>
      <c r="I135" t="inlineStr">
        <is>
          <t>Overhead</t>
        </is>
      </c>
      <c r="K135">
        <f>806.75</f>
        <v/>
      </c>
    </row>
    <row r="136">
      <c r="A136" t="inlineStr">
        <is>
          <t>Total for T-00026</t>
        </is>
      </c>
      <c r="J136">
        <f>J134</f>
        <v/>
      </c>
      <c r="K136">
        <f>K135</f>
        <v/>
      </c>
    </row>
    <row r="137"/>
    <row r="138">
      <c r="A138" t="inlineStr">
        <is>
          <t>T-00008</t>
        </is>
      </c>
    </row>
    <row r="139">
      <c r="B139" t="inlineStr">
        <is>
          <t>01/22/2025</t>
        </is>
      </c>
      <c r="C139" t="inlineStr">
        <is>
          <t>Credit Card Charge</t>
        </is>
      </c>
      <c r="D139" t="inlineStr"/>
      <c r="E139" t="inlineStr">
        <is>
          <t>Fabrikam Freight</t>
        </is>
      </c>
      <c r="F139" t="inlineStr">
        <is>
          <t>Outbound freight 2025-01</t>
        </is>
      </c>
      <c r="G139" t="inlineStr">
        <is>
          <t>5100</t>
        </is>
      </c>
      <c r="H139" t="inlineStr">
        <is>
          <t>Shipping and Freight</t>
        </is>
      </c>
      <c r="I139" t="inlineStr">
        <is>
          <t>Product</t>
        </is>
      </c>
      <c r="J139">
        <f>1527.03</f>
        <v/>
      </c>
    </row>
    <row r="140">
      <c r="B140" t="inlineStr">
        <is>
          <t>01/22/2025</t>
        </is>
      </c>
      <c r="C140" t="inlineStr">
        <is>
          <t>Credit Card Charge</t>
        </is>
      </c>
      <c r="D140" t="inlineStr"/>
      <c r="E140" t="inlineStr">
        <is>
          <t>Fabrikam Freight</t>
        </is>
      </c>
      <c r="F140" t="inlineStr">
        <is>
          <t>Outbound freight 2025-01</t>
        </is>
      </c>
      <c r="G140" t="inlineStr">
        <is>
          <t>2100</t>
        </is>
      </c>
      <c r="H140" t="inlineStr">
        <is>
          <t>Vantage Card 3391</t>
        </is>
      </c>
      <c r="I140" t="inlineStr">
        <is>
          <t>Product</t>
        </is>
      </c>
      <c r="K140">
        <f>1527.03</f>
        <v/>
      </c>
    </row>
    <row r="141">
      <c r="A141" t="inlineStr">
        <is>
          <t>Total for T-00008</t>
        </is>
      </c>
      <c r="J141">
        <f>J139</f>
        <v/>
      </c>
      <c r="K141">
        <f>K140</f>
        <v/>
      </c>
    </row>
    <row r="142"/>
    <row r="143">
      <c r="A143" t="inlineStr">
        <is>
          <t>T-00022</t>
        </is>
      </c>
    </row>
    <row r="144">
      <c r="B144" t="inlineStr">
        <is>
          <t>01/25/2025</t>
        </is>
      </c>
      <c r="C144" t="inlineStr">
        <is>
          <t>Expense</t>
        </is>
      </c>
      <c r="D144" t="inlineStr"/>
      <c r="E144" t="inlineStr">
        <is>
          <t>Quartz CAD Services</t>
        </is>
      </c>
      <c r="F144" t="inlineStr">
        <is>
          <t>Quartz CAD Services invoice 46783</t>
        </is>
      </c>
      <c r="G144" t="inlineStr">
        <is>
          <t>6100</t>
        </is>
      </c>
      <c r="H144" t="inlineStr">
        <is>
          <t>Contract Engineering</t>
        </is>
      </c>
      <c r="I144" t="inlineStr">
        <is>
          <t>Product</t>
        </is>
      </c>
      <c r="J144">
        <f>210.20</f>
        <v/>
      </c>
    </row>
    <row r="145">
      <c r="B145" t="inlineStr">
        <is>
          <t>01/25/2025</t>
        </is>
      </c>
      <c r="C145" t="inlineStr">
        <is>
          <t>Expense</t>
        </is>
      </c>
      <c r="D145" t="inlineStr"/>
      <c r="E145" t="inlineStr">
        <is>
          <t>Quartz CAD Services</t>
        </is>
      </c>
      <c r="F145" t="inlineStr">
        <is>
          <t>Quartz CAD Services invoice 46783</t>
        </is>
      </c>
      <c r="G145" t="inlineStr">
        <is>
          <t>1010</t>
        </is>
      </c>
      <c r="H145" t="inlineStr">
        <is>
          <t>Northgate Checking 7742</t>
        </is>
      </c>
      <c r="I145" t="inlineStr">
        <is>
          <t>Product</t>
        </is>
      </c>
      <c r="K145">
        <f>210.20</f>
        <v/>
      </c>
    </row>
    <row r="146">
      <c r="A146" t="inlineStr">
        <is>
          <t>Total for T-00022</t>
        </is>
      </c>
      <c r="J146">
        <f>J144</f>
        <v/>
      </c>
      <c r="K146">
        <f>K145</f>
        <v/>
      </c>
    </row>
    <row r="147"/>
    <row r="148">
      <c r="A148" t="inlineStr">
        <is>
          <t>T-00031</t>
        </is>
      </c>
    </row>
    <row r="149">
      <c r="B149" t="inlineStr">
        <is>
          <t>01/26/2025</t>
        </is>
      </c>
      <c r="C149" t="inlineStr">
        <is>
          <t>Expense</t>
        </is>
      </c>
      <c r="D149" t="inlineStr"/>
      <c r="E149" t="inlineStr">
        <is>
          <t>Litware Legal</t>
        </is>
      </c>
      <c r="F149" t="inlineStr">
        <is>
          <t>Litware Legal invoice 99921</t>
        </is>
      </c>
      <c r="G149" t="inlineStr">
        <is>
          <t>6800</t>
        </is>
      </c>
      <c r="H149" t="inlineStr">
        <is>
          <t>Professional Fees</t>
        </is>
      </c>
      <c r="I149" t="inlineStr">
        <is>
          <t>Overhead</t>
        </is>
      </c>
      <c r="J149">
        <f>1172.17</f>
        <v/>
      </c>
    </row>
    <row r="150">
      <c r="B150" t="inlineStr">
        <is>
          <t>01/26/2025</t>
        </is>
      </c>
      <c r="C150" t="inlineStr">
        <is>
          <t>Expense</t>
        </is>
      </c>
      <c r="D150" t="inlineStr"/>
      <c r="E150" t="inlineStr">
        <is>
          <t>Litware Legal</t>
        </is>
      </c>
      <c r="F150" t="inlineStr">
        <is>
          <t>Litware Legal invoice 99921</t>
        </is>
      </c>
      <c r="G150" t="inlineStr">
        <is>
          <t>1010</t>
        </is>
      </c>
      <c r="H150" t="inlineStr">
        <is>
          <t>Northgate Checking 7742</t>
        </is>
      </c>
      <c r="I150" t="inlineStr">
        <is>
          <t>Overhead</t>
        </is>
      </c>
      <c r="K150">
        <f>1172.17</f>
        <v/>
      </c>
    </row>
    <row r="151">
      <c r="A151" t="inlineStr">
        <is>
          <t>Total for T-00031</t>
        </is>
      </c>
      <c r="J151">
        <f>J149</f>
        <v/>
      </c>
      <c r="K151">
        <f>K150</f>
        <v/>
      </c>
    </row>
    <row r="152"/>
    <row r="153">
      <c r="A153" t="inlineStr">
        <is>
          <t>T-00033</t>
        </is>
      </c>
    </row>
    <row r="154">
      <c r="B154" t="inlineStr">
        <is>
          <t>01/27/2025</t>
        </is>
      </c>
      <c r="C154" t="inlineStr">
        <is>
          <t>Expense</t>
        </is>
      </c>
      <c r="D154" t="inlineStr"/>
      <c r="E154" t="inlineStr">
        <is>
          <t>Quartz CAD Services</t>
        </is>
      </c>
      <c r="F154" t="inlineStr">
        <is>
          <t>Quartz CAD Services invoice 39368</t>
        </is>
      </c>
      <c r="G154" t="inlineStr">
        <is>
          <t>6100</t>
        </is>
      </c>
      <c r="H154" t="inlineStr">
        <is>
          <t>Contract Engineering</t>
        </is>
      </c>
      <c r="I154" t="inlineStr">
        <is>
          <t>Product</t>
        </is>
      </c>
      <c r="J154">
        <f>504.28</f>
        <v/>
      </c>
    </row>
    <row r="155">
      <c r="B155" t="inlineStr">
        <is>
          <t>01/27/2025</t>
        </is>
      </c>
      <c r="C155" t="inlineStr">
        <is>
          <t>Expense</t>
        </is>
      </c>
      <c r="D155" t="inlineStr"/>
      <c r="E155" t="inlineStr">
        <is>
          <t>Quartz CAD Services</t>
        </is>
      </c>
      <c r="F155" t="inlineStr">
        <is>
          <t>Quartz CAD Services invoice 39368</t>
        </is>
      </c>
      <c r="G155" t="inlineStr">
        <is>
          <t>1010</t>
        </is>
      </c>
      <c r="H155" t="inlineStr">
        <is>
          <t>Northgate Checking 7742</t>
        </is>
      </c>
      <c r="I155" t="inlineStr">
        <is>
          <t>Product</t>
        </is>
      </c>
      <c r="K155">
        <f>504.28</f>
        <v/>
      </c>
    </row>
    <row r="156">
      <c r="A156" t="inlineStr">
        <is>
          <t>Total for T-00033</t>
        </is>
      </c>
      <c r="J156">
        <f>J154</f>
        <v/>
      </c>
      <c r="K156">
        <f>K155</f>
        <v/>
      </c>
    </row>
    <row r="157"/>
    <row r="158">
      <c r="A158" t="inlineStr">
        <is>
          <t>T-00015</t>
        </is>
      </c>
    </row>
    <row r="159">
      <c r="B159" t="inlineStr">
        <is>
          <t>01/31/2025</t>
        </is>
      </c>
      <c r="C159" t="inlineStr">
        <is>
          <t>Expense</t>
        </is>
      </c>
      <c r="D159" t="inlineStr"/>
      <c r="E159" t="inlineStr">
        <is>
          <t>Proseware Payroll</t>
        </is>
      </c>
      <c r="F159" t="inlineStr">
        <is>
          <t>Payroll 2025-01-31 gross wages</t>
        </is>
      </c>
      <c r="G159" t="inlineStr">
        <is>
          <t>6000</t>
        </is>
      </c>
      <c r="H159" t="inlineStr">
        <is>
          <t>Salaries and Wages</t>
        </is>
      </c>
      <c r="I159" t="inlineStr">
        <is>
          <t>Overhead</t>
        </is>
      </c>
      <c r="J159">
        <f>19000.00</f>
        <v/>
      </c>
    </row>
    <row r="160">
      <c r="B160" t="inlineStr">
        <is>
          <t>01/31/2025</t>
        </is>
      </c>
      <c r="C160" t="inlineStr">
        <is>
          <t>Expense</t>
        </is>
      </c>
      <c r="D160" t="inlineStr"/>
      <c r="E160" t="inlineStr">
        <is>
          <t>Proseware Payroll</t>
        </is>
      </c>
      <c r="F160" t="inlineStr">
        <is>
          <t>Payroll 2025-01-31 employer taxes</t>
        </is>
      </c>
      <c r="G160" t="inlineStr">
        <is>
          <t>6010</t>
        </is>
      </c>
      <c r="H160" t="inlineStr">
        <is>
          <t>Payroll Taxes</t>
        </is>
      </c>
      <c r="I160" t="inlineStr">
        <is>
          <t>Overhead</t>
        </is>
      </c>
      <c r="J160">
        <f>1453.50</f>
        <v/>
      </c>
    </row>
    <row r="161">
      <c r="B161" t="inlineStr">
        <is>
          <t>01/31/2025</t>
        </is>
      </c>
      <c r="C161" t="inlineStr">
        <is>
          <t>Expense</t>
        </is>
      </c>
      <c r="D161" t="inlineStr"/>
      <c r="E161" t="inlineStr">
        <is>
          <t>Proseware Payroll</t>
        </is>
      </c>
      <c r="F161" t="inlineStr">
        <is>
          <t>Proseware payroll debit 2025-01-31</t>
        </is>
      </c>
      <c r="G161" t="inlineStr">
        <is>
          <t>1010</t>
        </is>
      </c>
      <c r="H161" t="inlineStr">
        <is>
          <t>Northgate Checking 7742</t>
        </is>
      </c>
      <c r="I161" t="inlineStr">
        <is>
          <t>Overhead</t>
        </is>
      </c>
      <c r="K161">
        <f>20453.50</f>
        <v/>
      </c>
    </row>
    <row r="162">
      <c r="A162" t="inlineStr">
        <is>
          <t>Total for T-00015</t>
        </is>
      </c>
      <c r="J162">
        <f>J159+J160</f>
        <v/>
      </c>
      <c r="K162">
        <f>K161</f>
        <v/>
      </c>
    </row>
    <row r="163"/>
    <row r="164">
      <c r="A164" t="inlineStr">
        <is>
          <t>T-00017</t>
        </is>
      </c>
    </row>
    <row r="165">
      <c r="B165" t="inlineStr">
        <is>
          <t>01/31/2025</t>
        </is>
      </c>
      <c r="C165" t="inlineStr">
        <is>
          <t>Deposit</t>
        </is>
      </c>
      <c r="D165" t="inlineStr"/>
      <c r="E165" t="inlineStr">
        <is>
          <t>Paylane</t>
        </is>
      </c>
      <c r="F165" t="inlineStr">
        <is>
          <t>Paylane payout 2025-01 #2</t>
        </is>
      </c>
      <c r="G165" t="inlineStr">
        <is>
          <t>1010</t>
        </is>
      </c>
      <c r="H165" t="inlineStr">
        <is>
          <t>Northgate Checking 7742</t>
        </is>
      </c>
      <c r="I165" t="inlineStr">
        <is>
          <t>Product</t>
        </is>
      </c>
      <c r="J165">
        <f>10194.77</f>
        <v/>
      </c>
    </row>
    <row r="166">
      <c r="B166" t="inlineStr">
        <is>
          <t>01/31/2025</t>
        </is>
      </c>
      <c r="C166" t="inlineStr">
        <is>
          <t>Deposit</t>
        </is>
      </c>
      <c r="D166" t="inlineStr"/>
      <c r="E166" t="inlineStr">
        <is>
          <t>Paylane</t>
        </is>
      </c>
      <c r="F166" t="inlineStr">
        <is>
          <t>Paylane payout 2025-01 #2</t>
        </is>
      </c>
      <c r="G166" t="inlineStr">
        <is>
          <t>1200</t>
        </is>
      </c>
      <c r="H166" t="inlineStr">
        <is>
          <t>Paylane Clearing</t>
        </is>
      </c>
      <c r="I166" t="inlineStr">
        <is>
          <t>Product</t>
        </is>
      </c>
      <c r="K166">
        <f>10194.77</f>
        <v/>
      </c>
    </row>
    <row r="167">
      <c r="A167" t="inlineStr">
        <is>
          <t>Total for T-00017</t>
        </is>
      </c>
      <c r="J167">
        <f>J165</f>
        <v/>
      </c>
      <c r="K167">
        <f>K166</f>
        <v/>
      </c>
    </row>
    <row r="168"/>
    <row r="169">
      <c r="A169" t="inlineStr">
        <is>
          <t>T-00018</t>
        </is>
      </c>
    </row>
    <row r="170">
      <c r="B170" t="inlineStr">
        <is>
          <t>01/31/2025</t>
        </is>
      </c>
      <c r="C170" t="inlineStr">
        <is>
          <t>Journal Entry</t>
        </is>
      </c>
      <c r="D170" t="inlineStr">
        <is>
          <t>JE-1002</t>
        </is>
      </c>
      <c r="E170" t="inlineStr">
        <is>
          <t>Paylane</t>
        </is>
      </c>
      <c r="F170" t="inlineStr">
        <is>
          <t>Paylane settlement 2025-01</t>
        </is>
      </c>
      <c r="G170" t="inlineStr">
        <is>
          <t>1200</t>
        </is>
      </c>
      <c r="H170" t="inlineStr">
        <is>
          <t>Paylane Clearing</t>
        </is>
      </c>
      <c r="I170" t="inlineStr">
        <is>
          <t>Product</t>
        </is>
      </c>
      <c r="J170">
        <f>22655.04</f>
        <v/>
      </c>
    </row>
    <row r="171">
      <c r="B171" t="inlineStr">
        <is>
          <t>01/31/2025</t>
        </is>
      </c>
      <c r="C171" t="inlineStr">
        <is>
          <t>Journal Entry</t>
        </is>
      </c>
      <c r="D171" t="inlineStr">
        <is>
          <t>JE-1002</t>
        </is>
      </c>
      <c r="E171" t="inlineStr">
        <is>
          <t>Paylane</t>
        </is>
      </c>
      <c r="F171" t="inlineStr">
        <is>
          <t>Paylane processing fees 2025-01, 40 charges</t>
        </is>
      </c>
      <c r="G171" t="inlineStr">
        <is>
          <t>6950</t>
        </is>
      </c>
      <c r="H171" t="inlineStr">
        <is>
          <t>Bank and Processor Fees</t>
        </is>
      </c>
      <c r="I171" t="inlineStr">
        <is>
          <t>Overhead</t>
        </is>
      </c>
      <c r="J171">
        <f>688.98</f>
        <v/>
      </c>
    </row>
    <row r="172">
      <c r="B172" t="inlineStr">
        <is>
          <t>01/31/2025</t>
        </is>
      </c>
      <c r="C172" t="inlineStr">
        <is>
          <t>Journal Entry</t>
        </is>
      </c>
      <c r="D172" t="inlineStr">
        <is>
          <t>JE-1002</t>
        </is>
      </c>
      <c r="E172" t="inlineStr">
        <is>
          <t>Paylane</t>
        </is>
      </c>
      <c r="F172" t="inlineStr">
        <is>
          <t>Paylane product sales 2025-01</t>
        </is>
      </c>
      <c r="G172" t="inlineStr">
        <is>
          <t>4000</t>
        </is>
      </c>
      <c r="H172" t="inlineStr">
        <is>
          <t>Product Revenue</t>
        </is>
      </c>
      <c r="I172" t="inlineStr">
        <is>
          <t>Product</t>
        </is>
      </c>
      <c r="K172">
        <f>23344.02</f>
        <v/>
      </c>
    </row>
    <row r="173">
      <c r="A173" t="inlineStr">
        <is>
          <t>Total for T-00018</t>
        </is>
      </c>
      <c r="J173">
        <f>J170+J171</f>
        <v/>
      </c>
      <c r="K173">
        <f>K172</f>
        <v/>
      </c>
    </row>
    <row r="174"/>
    <row r="175">
      <c r="A175" t="inlineStr">
        <is>
          <t>T-00034</t>
        </is>
      </c>
    </row>
    <row r="176">
      <c r="B176" t="inlineStr">
        <is>
          <t>01/31/2025</t>
        </is>
      </c>
      <c r="C176" t="inlineStr">
        <is>
          <t>Expense</t>
        </is>
      </c>
      <c r="D176" t="inlineStr"/>
      <c r="E176" t="inlineStr">
        <is>
          <t>Northgate Bank</t>
        </is>
      </c>
      <c r="F176" t="inlineStr">
        <is>
          <t>Account analysis fee 2025-01</t>
        </is>
      </c>
      <c r="G176" t="inlineStr">
        <is>
          <t>6950</t>
        </is>
      </c>
      <c r="H176" t="inlineStr">
        <is>
          <t>Bank and Processor Fees</t>
        </is>
      </c>
      <c r="I176" t="inlineStr">
        <is>
          <t>Overhead</t>
        </is>
      </c>
      <c r="J176">
        <f>45.00</f>
        <v/>
      </c>
    </row>
    <row r="177">
      <c r="B177" t="inlineStr">
        <is>
          <t>01/31/2025</t>
        </is>
      </c>
      <c r="C177" t="inlineStr">
        <is>
          <t>Expense</t>
        </is>
      </c>
      <c r="D177" t="inlineStr"/>
      <c r="E177" t="inlineStr">
        <is>
          <t>Northgate Bank</t>
        </is>
      </c>
      <c r="F177" t="inlineStr">
        <is>
          <t>Account analysis fee 2025-01</t>
        </is>
      </c>
      <c r="G177" t="inlineStr">
        <is>
          <t>1010</t>
        </is>
      </c>
      <c r="H177" t="inlineStr">
        <is>
          <t>Northgate Checking 7742</t>
        </is>
      </c>
      <c r="I177" t="inlineStr">
        <is>
          <t>Overhead</t>
        </is>
      </c>
      <c r="K177">
        <f>45.00</f>
        <v/>
      </c>
    </row>
    <row r="178">
      <c r="A178" t="inlineStr">
        <is>
          <t>Total for T-00034</t>
        </is>
      </c>
      <c r="J178">
        <f>J176</f>
        <v/>
      </c>
      <c r="K178">
        <f>K177</f>
        <v/>
      </c>
    </row>
    <row r="179"/>
    <row r="180">
      <c r="A180" t="inlineStr">
        <is>
          <t>T-00035</t>
        </is>
      </c>
    </row>
    <row r="181">
      <c r="B181" t="inlineStr">
        <is>
          <t>01/31/2025</t>
        </is>
      </c>
      <c r="C181" t="inlineStr">
        <is>
          <t>Deposit</t>
        </is>
      </c>
      <c r="D181" t="inlineStr"/>
      <c r="E181" t="inlineStr">
        <is>
          <t>Northgate Bank</t>
        </is>
      </c>
      <c r="F181" t="inlineStr">
        <is>
          <t>Savings interest 2025-01</t>
        </is>
      </c>
      <c r="G181" t="inlineStr">
        <is>
          <t>1020</t>
        </is>
      </c>
      <c r="H181" t="inlineStr">
        <is>
          <t>Northgate Savings 7809</t>
        </is>
      </c>
      <c r="I181" t="inlineStr">
        <is>
          <t>Overhead</t>
        </is>
      </c>
      <c r="J181">
        <f>2.00</f>
        <v/>
      </c>
    </row>
    <row r="182">
      <c r="B182" t="inlineStr">
        <is>
          <t>01/31/2025</t>
        </is>
      </c>
      <c r="C182" t="inlineStr">
        <is>
          <t>Deposit</t>
        </is>
      </c>
      <c r="D182" t="inlineStr"/>
      <c r="E182" t="inlineStr">
        <is>
          <t>Northgate Bank</t>
        </is>
      </c>
      <c r="F182" t="inlineStr">
        <is>
          <t>Savings interest 2025-01</t>
        </is>
      </c>
      <c r="G182" t="inlineStr">
        <is>
          <t>4900</t>
        </is>
      </c>
      <c r="H182" t="inlineStr">
        <is>
          <t>Interest Income</t>
        </is>
      </c>
      <c r="I182" t="inlineStr">
        <is>
          <t>Overhead</t>
        </is>
      </c>
      <c r="K182">
        <f>2.00</f>
        <v/>
      </c>
    </row>
    <row r="183">
      <c r="A183" t="inlineStr">
        <is>
          <t>Total for T-00035</t>
        </is>
      </c>
      <c r="J183">
        <f>J181</f>
        <v/>
      </c>
      <c r="K183">
        <f>K182</f>
        <v/>
      </c>
    </row>
    <row r="184"/>
    <row r="185">
      <c r="A185" t="inlineStr">
        <is>
          <t>T-00036</t>
        </is>
      </c>
    </row>
    <row r="186">
      <c r="B186" t="inlineStr">
        <is>
          <t>01/31/2025</t>
        </is>
      </c>
      <c r="C186" t="inlineStr">
        <is>
          <t>Journal Entry</t>
        </is>
      </c>
      <c r="D186" t="inlineStr">
        <is>
          <t>JE-1003</t>
        </is>
      </c>
      <c r="E186" t="inlineStr">
        <is>
          <t>Adatum Insurance</t>
        </is>
      </c>
      <c r="F186" t="inlineStr">
        <is>
          <t>Insurance 2025-01</t>
        </is>
      </c>
      <c r="G186" t="inlineStr">
        <is>
          <t>6500</t>
        </is>
      </c>
      <c r="H186" t="inlineStr">
        <is>
          <t>Insurance</t>
        </is>
      </c>
      <c r="I186" t="inlineStr">
        <is>
          <t>Overhead</t>
        </is>
      </c>
      <c r="J186">
        <f>1200.00</f>
        <v/>
      </c>
    </row>
    <row r="187">
      <c r="B187" t="inlineStr">
        <is>
          <t>01/31/2025</t>
        </is>
      </c>
      <c r="C187" t="inlineStr">
        <is>
          <t>Journal Entry</t>
        </is>
      </c>
      <c r="D187" t="inlineStr">
        <is>
          <t>JE-1003</t>
        </is>
      </c>
      <c r="E187" t="inlineStr">
        <is>
          <t>Adatum Insurance</t>
        </is>
      </c>
      <c r="F187" t="inlineStr">
        <is>
          <t>Insurance 2025-01</t>
        </is>
      </c>
      <c r="G187" t="inlineStr">
        <is>
          <t>1300</t>
        </is>
      </c>
      <c r="H187" t="inlineStr">
        <is>
          <t>Prepaid Insurance</t>
        </is>
      </c>
      <c r="I187" t="inlineStr">
        <is>
          <t>Overhead</t>
        </is>
      </c>
      <c r="K187">
        <f>1200.00</f>
        <v/>
      </c>
    </row>
    <row r="188">
      <c r="A188" t="inlineStr">
        <is>
          <t>Total for T-00036</t>
        </is>
      </c>
      <c r="J188">
        <f>J186</f>
        <v/>
      </c>
      <c r="K188">
        <f>K187</f>
        <v/>
      </c>
    </row>
    <row r="189"/>
    <row r="190">
      <c r="A190" t="inlineStr">
        <is>
          <t>T-00037</t>
        </is>
      </c>
    </row>
    <row r="191">
      <c r="B191" t="inlineStr">
        <is>
          <t>01/31/2025</t>
        </is>
      </c>
      <c r="C191" t="inlineStr">
        <is>
          <t>Journal Entry</t>
        </is>
      </c>
      <c r="D191" t="inlineStr">
        <is>
          <t>JE-1004</t>
        </is>
      </c>
      <c r="E191" t="inlineStr">
        <is>
          <t>Orion Design Works</t>
        </is>
      </c>
      <c r="F191" t="inlineStr">
        <is>
          <t>Design license 2025-01</t>
        </is>
      </c>
      <c r="G191" t="inlineStr">
        <is>
          <t>7100</t>
        </is>
      </c>
      <c r="H191" t="inlineStr">
        <is>
          <t>Amortization Expense</t>
        </is>
      </c>
      <c r="I191" t="inlineStr">
        <is>
          <t>Product</t>
        </is>
      </c>
      <c r="J191">
        <f>1000.00</f>
        <v/>
      </c>
    </row>
    <row r="192">
      <c r="B192" t="inlineStr">
        <is>
          <t>01/31/2025</t>
        </is>
      </c>
      <c r="C192" t="inlineStr">
        <is>
          <t>Journal Entry</t>
        </is>
      </c>
      <c r="D192" t="inlineStr">
        <is>
          <t>JE-1004</t>
        </is>
      </c>
      <c r="E192" t="inlineStr">
        <is>
          <t>Orion Design Works</t>
        </is>
      </c>
      <c r="F192" t="inlineStr">
        <is>
          <t>Design license 2025-01</t>
        </is>
      </c>
      <c r="G192" t="inlineStr">
        <is>
          <t>1610</t>
        </is>
      </c>
      <c r="H192" t="inlineStr">
        <is>
          <t>Accumulated Amortization - Design License</t>
        </is>
      </c>
      <c r="I192" t="inlineStr">
        <is>
          <t>Product</t>
        </is>
      </c>
      <c r="K192">
        <f>1000.00</f>
        <v/>
      </c>
    </row>
    <row r="193">
      <c r="A193" t="inlineStr">
        <is>
          <t>Total for T-00037</t>
        </is>
      </c>
      <c r="J193">
        <f>J191</f>
        <v/>
      </c>
      <c r="K193">
        <f>K192</f>
        <v/>
      </c>
    </row>
    <row r="194"/>
    <row r="195">
      <c r="A195" t="inlineStr">
        <is>
          <t>T-00039</t>
        </is>
      </c>
    </row>
    <row r="196">
      <c r="B196" t="inlineStr">
        <is>
          <t>02/01/2025</t>
        </is>
      </c>
      <c r="C196" t="inlineStr">
        <is>
          <t>Expense</t>
        </is>
      </c>
      <c r="D196" t="inlineStr"/>
      <c r="E196" t="inlineStr">
        <is>
          <t>Wingtip Workspace</t>
        </is>
      </c>
      <c r="F196" t="inlineStr">
        <is>
          <t>Office rent 2025-02</t>
        </is>
      </c>
      <c r="G196" t="inlineStr">
        <is>
          <t>6400</t>
        </is>
      </c>
      <c r="H196" t="inlineStr">
        <is>
          <t>Rent</t>
        </is>
      </c>
      <c r="I196" t="inlineStr">
        <is>
          <t>Overhead</t>
        </is>
      </c>
      <c r="J196">
        <f>6500.00</f>
        <v/>
      </c>
    </row>
    <row r="197">
      <c r="B197" t="inlineStr">
        <is>
          <t>02/01/2025</t>
        </is>
      </c>
      <c r="C197" t="inlineStr">
        <is>
          <t>Expense</t>
        </is>
      </c>
      <c r="D197" t="inlineStr"/>
      <c r="E197" t="inlineStr">
        <is>
          <t>Wingtip Workspace</t>
        </is>
      </c>
      <c r="F197" t="inlineStr">
        <is>
          <t>Office rent 2025-02</t>
        </is>
      </c>
      <c r="G197" t="inlineStr">
        <is>
          <t>1010</t>
        </is>
      </c>
      <c r="H197" t="inlineStr">
        <is>
          <t>Northgate Checking 7742</t>
        </is>
      </c>
      <c r="I197" t="inlineStr">
        <is>
          <t>Overhead</t>
        </is>
      </c>
      <c r="K197">
        <f>6500.00</f>
        <v/>
      </c>
    </row>
    <row r="198">
      <c r="A198" t="inlineStr">
        <is>
          <t>Total for T-00039</t>
        </is>
      </c>
      <c r="J198">
        <f>J196</f>
        <v/>
      </c>
      <c r="K198">
        <f>K197</f>
        <v/>
      </c>
    </row>
    <row r="199"/>
    <row r="200">
      <c r="A200" t="inlineStr">
        <is>
          <t>T-00065</t>
        </is>
      </c>
    </row>
    <row r="201">
      <c r="B201" t="inlineStr">
        <is>
          <t>02/02/2025</t>
        </is>
      </c>
      <c r="C201" t="inlineStr">
        <is>
          <t>Expense</t>
        </is>
      </c>
      <c r="D201" t="inlineStr"/>
      <c r="E201" t="inlineStr">
        <is>
          <t>Fabrikam Freight</t>
        </is>
      </c>
      <c r="F201" t="inlineStr">
        <is>
          <t>Fabrikam Freight invoice 65136</t>
        </is>
      </c>
      <c r="G201" t="inlineStr">
        <is>
          <t>5100</t>
        </is>
      </c>
      <c r="H201" t="inlineStr">
        <is>
          <t>Shipping and Freight</t>
        </is>
      </c>
      <c r="I201" t="inlineStr">
        <is>
          <t>Product</t>
        </is>
      </c>
      <c r="J201">
        <f>191.77</f>
        <v/>
      </c>
    </row>
    <row r="202">
      <c r="B202" t="inlineStr">
        <is>
          <t>02/02/2025</t>
        </is>
      </c>
      <c r="C202" t="inlineStr">
        <is>
          <t>Expense</t>
        </is>
      </c>
      <c r="D202" t="inlineStr"/>
      <c r="E202" t="inlineStr">
        <is>
          <t>Fabrikam Freight</t>
        </is>
      </c>
      <c r="F202" t="inlineStr">
        <is>
          <t>Fabrikam Freight invoice 65136</t>
        </is>
      </c>
      <c r="G202" t="inlineStr">
        <is>
          <t>1010</t>
        </is>
      </c>
      <c r="H202" t="inlineStr">
        <is>
          <t>Northgate Checking 7742</t>
        </is>
      </c>
      <c r="I202" t="inlineStr">
        <is>
          <t>Product</t>
        </is>
      </c>
      <c r="K202">
        <f>191.77</f>
        <v/>
      </c>
    </row>
    <row r="203">
      <c r="A203" t="inlineStr">
        <is>
          <t>Total for T-00065</t>
        </is>
      </c>
      <c r="J203">
        <f>J201</f>
        <v/>
      </c>
      <c r="K203">
        <f>K202</f>
        <v/>
      </c>
    </row>
    <row r="204"/>
    <row r="205">
      <c r="A205" t="inlineStr">
        <is>
          <t>T-00040</t>
        </is>
      </c>
    </row>
    <row r="206">
      <c r="B206" t="inlineStr">
        <is>
          <t>02/04/2025</t>
        </is>
      </c>
      <c r="C206" t="inlineStr">
        <is>
          <t>Credit Card Charge</t>
        </is>
      </c>
      <c r="D206" t="inlineStr"/>
      <c r="E206" t="inlineStr">
        <is>
          <t>Contoso Cloud</t>
        </is>
      </c>
      <c r="F206" t="inlineStr">
        <is>
          <t>Cloud hosting 2025-02</t>
        </is>
      </c>
      <c r="G206" t="inlineStr">
        <is>
          <t>6300</t>
        </is>
      </c>
      <c r="H206" t="inlineStr">
        <is>
          <t>Cloud Hosting</t>
        </is>
      </c>
      <c r="I206" t="inlineStr">
        <is>
          <t>Services</t>
        </is>
      </c>
      <c r="J206">
        <f>2520.00</f>
        <v/>
      </c>
    </row>
    <row r="207">
      <c r="B207" t="inlineStr">
        <is>
          <t>02/04/2025</t>
        </is>
      </c>
      <c r="C207" t="inlineStr">
        <is>
          <t>Credit Card Charge</t>
        </is>
      </c>
      <c r="D207" t="inlineStr"/>
      <c r="E207" t="inlineStr">
        <is>
          <t>Contoso Cloud</t>
        </is>
      </c>
      <c r="F207" t="inlineStr">
        <is>
          <t>Cloud hosting 2025-02</t>
        </is>
      </c>
      <c r="G207" t="inlineStr">
        <is>
          <t>2100</t>
        </is>
      </c>
      <c r="H207" t="inlineStr">
        <is>
          <t>Vantage Card 3391</t>
        </is>
      </c>
      <c r="I207" t="inlineStr">
        <is>
          <t>Services</t>
        </is>
      </c>
      <c r="K207">
        <f>2520.00</f>
        <v/>
      </c>
    </row>
    <row r="208">
      <c r="A208" t="inlineStr">
        <is>
          <t>Total for T-00040</t>
        </is>
      </c>
      <c r="J208">
        <f>J206</f>
        <v/>
      </c>
      <c r="K208">
        <f>K207</f>
        <v/>
      </c>
    </row>
    <row r="209"/>
    <row r="210">
      <c r="A210" t="inlineStr">
        <is>
          <t>T-00067</t>
        </is>
      </c>
    </row>
    <row r="211">
      <c r="B211" t="inlineStr">
        <is>
          <t>02/04/2025</t>
        </is>
      </c>
      <c r="C211" t="inlineStr">
        <is>
          <t>Credit Card Charge</t>
        </is>
      </c>
      <c r="D211" t="inlineStr"/>
      <c r="E211" t="inlineStr">
        <is>
          <t>Skyward Air</t>
        </is>
      </c>
      <c r="F211" t="inlineStr">
        <is>
          <t>Skyward Air 2025-02</t>
        </is>
      </c>
      <c r="G211" t="inlineStr">
        <is>
          <t>6900</t>
        </is>
      </c>
      <c r="H211" t="inlineStr">
        <is>
          <t>Travel and Meals</t>
        </is>
      </c>
      <c r="I211" t="inlineStr">
        <is>
          <t>Overhead</t>
        </is>
      </c>
      <c r="J211">
        <f>756.86</f>
        <v/>
      </c>
    </row>
    <row r="212">
      <c r="B212" t="inlineStr">
        <is>
          <t>02/04/2025</t>
        </is>
      </c>
      <c r="C212" t="inlineStr">
        <is>
          <t>Credit Card Charge</t>
        </is>
      </c>
      <c r="D212" t="inlineStr"/>
      <c r="E212" t="inlineStr">
        <is>
          <t>Skyward Air</t>
        </is>
      </c>
      <c r="F212" t="inlineStr">
        <is>
          <t>Skyward Air 2025-02</t>
        </is>
      </c>
      <c r="G212" t="inlineStr">
        <is>
          <t>2100</t>
        </is>
      </c>
      <c r="H212" t="inlineStr">
        <is>
          <t>Vantage Card 3391</t>
        </is>
      </c>
      <c r="I212" t="inlineStr">
        <is>
          <t>Overhead</t>
        </is>
      </c>
      <c r="K212">
        <f>756.86</f>
        <v/>
      </c>
    </row>
    <row r="213">
      <c r="A213" t="inlineStr">
        <is>
          <t>Total for T-00067</t>
        </is>
      </c>
      <c r="J213">
        <f>J211</f>
        <v/>
      </c>
      <c r="K213">
        <f>K212</f>
        <v/>
      </c>
    </row>
    <row r="214"/>
    <row r="215">
      <c r="A215" t="inlineStr">
        <is>
          <t>T-00042</t>
        </is>
      </c>
    </row>
    <row r="216">
      <c r="B216" t="inlineStr">
        <is>
          <t>02/05/2025</t>
        </is>
      </c>
      <c r="C216" t="inlineStr">
        <is>
          <t>Expense</t>
        </is>
      </c>
      <c r="D216" t="inlineStr"/>
      <c r="E216" t="inlineStr">
        <is>
          <t>Vantage Card</t>
        </is>
      </c>
      <c r="F216" t="inlineStr">
        <is>
          <t>Vantage card payment</t>
        </is>
      </c>
      <c r="G216" t="inlineStr">
        <is>
          <t>2100</t>
        </is>
      </c>
      <c r="H216" t="inlineStr">
        <is>
          <t>Vantage Card 3391</t>
        </is>
      </c>
      <c r="I216" t="inlineStr">
        <is>
          <t>Overhead</t>
        </is>
      </c>
      <c r="J216">
        <f>5901.96</f>
        <v/>
      </c>
    </row>
    <row r="217">
      <c r="B217" t="inlineStr">
        <is>
          <t>02/05/2025</t>
        </is>
      </c>
      <c r="C217" t="inlineStr">
        <is>
          <t>Expense</t>
        </is>
      </c>
      <c r="D217" t="inlineStr"/>
      <c r="E217" t="inlineStr">
        <is>
          <t>Vantage Card</t>
        </is>
      </c>
      <c r="F217" t="inlineStr">
        <is>
          <t>Vantage card payment</t>
        </is>
      </c>
      <c r="G217" t="inlineStr">
        <is>
          <t>1010</t>
        </is>
      </c>
      <c r="H217" t="inlineStr">
        <is>
          <t>Northgate Checking 7742</t>
        </is>
      </c>
      <c r="I217" t="inlineStr">
        <is>
          <t>Overhead</t>
        </is>
      </c>
      <c r="K217">
        <f>5901.96</f>
        <v/>
      </c>
    </row>
    <row r="218">
      <c r="A218" t="inlineStr">
        <is>
          <t>Total for T-00042</t>
        </is>
      </c>
      <c r="J218">
        <f>J216</f>
        <v/>
      </c>
      <c r="K218">
        <f>K217</f>
        <v/>
      </c>
    </row>
    <row r="219"/>
    <row r="220">
      <c r="A220" t="inlineStr">
        <is>
          <t>T-00043</t>
        </is>
      </c>
    </row>
    <row r="221">
      <c r="B221" t="inlineStr">
        <is>
          <t>02/05/2025</t>
        </is>
      </c>
      <c r="C221" t="inlineStr">
        <is>
          <t>Transfer</t>
        </is>
      </c>
      <c r="D221" t="inlineStr"/>
      <c r="E221" t="inlineStr"/>
      <c r="F221" t="inlineStr">
        <is>
          <t>Transfer to savings</t>
        </is>
      </c>
      <c r="G221" t="inlineStr">
        <is>
          <t>1020</t>
        </is>
      </c>
      <c r="H221" t="inlineStr">
        <is>
          <t>Northgate Savings 7809</t>
        </is>
      </c>
      <c r="I221" t="inlineStr">
        <is>
          <t>Overhead</t>
        </is>
      </c>
      <c r="J221">
        <f>5000.00</f>
        <v/>
      </c>
    </row>
    <row r="222">
      <c r="B222" t="inlineStr">
        <is>
          <t>02/05/2025</t>
        </is>
      </c>
      <c r="C222" t="inlineStr">
        <is>
          <t>Transfer</t>
        </is>
      </c>
      <c r="D222" t="inlineStr"/>
      <c r="E222" t="inlineStr"/>
      <c r="F222" t="inlineStr">
        <is>
          <t>Transfer to savings</t>
        </is>
      </c>
      <c r="G222" t="inlineStr">
        <is>
          <t>1010</t>
        </is>
      </c>
      <c r="H222" t="inlineStr">
        <is>
          <t>Northgate Checking 7742</t>
        </is>
      </c>
      <c r="I222" t="inlineStr">
        <is>
          <t>Overhead</t>
        </is>
      </c>
      <c r="K222">
        <f>5000.00</f>
        <v/>
      </c>
    </row>
    <row r="223">
      <c r="A223" t="inlineStr">
        <is>
          <t>Total for T-00043</t>
        </is>
      </c>
      <c r="J223">
        <f>J221</f>
        <v/>
      </c>
      <c r="K223">
        <f>K222</f>
        <v/>
      </c>
    </row>
    <row r="224"/>
    <row r="225">
      <c r="A225" t="inlineStr">
        <is>
          <t>T-00057</t>
        </is>
      </c>
    </row>
    <row r="226">
      <c r="B226" t="inlineStr">
        <is>
          <t>02/05/2025</t>
        </is>
      </c>
      <c r="C226" t="inlineStr">
        <is>
          <t>Expense</t>
        </is>
      </c>
      <c r="D226" t="inlineStr"/>
      <c r="E226" t="inlineStr">
        <is>
          <t>Quartz CAD Services</t>
        </is>
      </c>
      <c r="F226" t="inlineStr">
        <is>
          <t>Quartz CAD Services invoice 92831</t>
        </is>
      </c>
      <c r="G226" t="inlineStr">
        <is>
          <t>6100</t>
        </is>
      </c>
      <c r="H226" t="inlineStr">
        <is>
          <t>Contract Engineering</t>
        </is>
      </c>
      <c r="I226" t="inlineStr">
        <is>
          <t>Product</t>
        </is>
      </c>
      <c r="J226">
        <f>519.57</f>
        <v/>
      </c>
    </row>
    <row r="227">
      <c r="B227" t="inlineStr">
        <is>
          <t>02/05/2025</t>
        </is>
      </c>
      <c r="C227" t="inlineStr">
        <is>
          <t>Expense</t>
        </is>
      </c>
      <c r="D227" t="inlineStr"/>
      <c r="E227" t="inlineStr">
        <is>
          <t>Quartz CAD Services</t>
        </is>
      </c>
      <c r="F227" t="inlineStr">
        <is>
          <t>Quartz CAD Services invoice 92831</t>
        </is>
      </c>
      <c r="G227" t="inlineStr">
        <is>
          <t>1010</t>
        </is>
      </c>
      <c r="H227" t="inlineStr">
        <is>
          <t>Northgate Checking 7742</t>
        </is>
      </c>
      <c r="I227" t="inlineStr">
        <is>
          <t>Product</t>
        </is>
      </c>
      <c r="K227">
        <f>519.57</f>
        <v/>
      </c>
    </row>
    <row r="228">
      <c r="A228" t="inlineStr">
        <is>
          <t>Total for T-00057</t>
        </is>
      </c>
      <c r="J228">
        <f>J226</f>
        <v/>
      </c>
      <c r="K228">
        <f>K227</f>
        <v/>
      </c>
    </row>
    <row r="229"/>
    <row r="230">
      <c r="A230" t="inlineStr">
        <is>
          <t>T-00061</t>
        </is>
      </c>
    </row>
    <row r="231">
      <c r="B231" t="inlineStr">
        <is>
          <t>02/07/2025</t>
        </is>
      </c>
      <c r="C231" t="inlineStr">
        <is>
          <t>Expense</t>
        </is>
      </c>
      <c r="D231" t="inlineStr"/>
      <c r="E231" t="inlineStr">
        <is>
          <t>Redwood Prototyping</t>
        </is>
      </c>
      <c r="F231" t="inlineStr">
        <is>
          <t>Redwood Prototyping invoice 54165</t>
        </is>
      </c>
      <c r="G231" t="inlineStr">
        <is>
          <t>6100</t>
        </is>
      </c>
      <c r="H231" t="inlineStr">
        <is>
          <t>Contract Engineering</t>
        </is>
      </c>
      <c r="I231" t="inlineStr">
        <is>
          <t>Product</t>
        </is>
      </c>
      <c r="J231">
        <f>778.57</f>
        <v/>
      </c>
    </row>
    <row r="232">
      <c r="B232" t="inlineStr">
        <is>
          <t>02/07/2025</t>
        </is>
      </c>
      <c r="C232" t="inlineStr">
        <is>
          <t>Expense</t>
        </is>
      </c>
      <c r="D232" t="inlineStr"/>
      <c r="E232" t="inlineStr">
        <is>
          <t>Redwood Prototyping</t>
        </is>
      </c>
      <c r="F232" t="inlineStr">
        <is>
          <t>Redwood Prototyping invoice 54165</t>
        </is>
      </c>
      <c r="G232" t="inlineStr">
        <is>
          <t>1010</t>
        </is>
      </c>
      <c r="H232" t="inlineStr">
        <is>
          <t>Northgate Checking 7742</t>
        </is>
      </c>
      <c r="I232" t="inlineStr">
        <is>
          <t>Product</t>
        </is>
      </c>
      <c r="K232">
        <f>778.57</f>
        <v/>
      </c>
    </row>
    <row r="233">
      <c r="A233" t="inlineStr">
        <is>
          <t>Total for T-00061</t>
        </is>
      </c>
      <c r="J233">
        <f>J231</f>
        <v/>
      </c>
      <c r="K233">
        <f>K232</f>
        <v/>
      </c>
    </row>
    <row r="234"/>
    <row r="235">
      <c r="A235" t="inlineStr">
        <is>
          <t>T-00062</t>
        </is>
      </c>
    </row>
    <row r="236">
      <c r="B236" t="inlineStr">
        <is>
          <t>02/08/2025</t>
        </is>
      </c>
      <c r="C236" t="inlineStr">
        <is>
          <t>Expense</t>
        </is>
      </c>
      <c r="D236" t="inlineStr"/>
      <c r="E236" t="inlineStr">
        <is>
          <t>Northwind Supply</t>
        </is>
      </c>
      <c r="F236" t="inlineStr">
        <is>
          <t>Northwind Supply invoice 32837</t>
        </is>
      </c>
      <c r="G236" t="inlineStr">
        <is>
          <t>5000</t>
        </is>
      </c>
      <c r="H236" t="inlineStr">
        <is>
          <t>Cost of Goods Sold - Components</t>
        </is>
      </c>
      <c r="I236" t="inlineStr">
        <is>
          <t>Product</t>
        </is>
      </c>
      <c r="J236">
        <f>792.10</f>
        <v/>
      </c>
    </row>
    <row r="237">
      <c r="B237" t="inlineStr">
        <is>
          <t>02/08/2025</t>
        </is>
      </c>
      <c r="C237" t="inlineStr">
        <is>
          <t>Expense</t>
        </is>
      </c>
      <c r="D237" t="inlineStr"/>
      <c r="E237" t="inlineStr">
        <is>
          <t>Northwind Supply</t>
        </is>
      </c>
      <c r="F237" t="inlineStr">
        <is>
          <t>Northwind Supply invoice 32837</t>
        </is>
      </c>
      <c r="G237" t="inlineStr">
        <is>
          <t>1010</t>
        </is>
      </c>
      <c r="H237" t="inlineStr">
        <is>
          <t>Northgate Checking 7742</t>
        </is>
      </c>
      <c r="I237" t="inlineStr">
        <is>
          <t>Product</t>
        </is>
      </c>
      <c r="K237">
        <f>792.10</f>
        <v/>
      </c>
    </row>
    <row r="238">
      <c r="A238" t="inlineStr">
        <is>
          <t>Total for T-00062</t>
        </is>
      </c>
      <c r="J238">
        <f>J236</f>
        <v/>
      </c>
      <c r="K238">
        <f>K237</f>
        <v/>
      </c>
    </row>
    <row r="239"/>
    <row r="240">
      <c r="A240" t="inlineStr">
        <is>
          <t>T-00038</t>
        </is>
      </c>
    </row>
    <row r="241">
      <c r="B241" t="inlineStr">
        <is>
          <t>02/10/2025</t>
        </is>
      </c>
      <c r="C241" t="inlineStr">
        <is>
          <t>Check</t>
        </is>
      </c>
      <c r="D241" t="inlineStr"/>
      <c r="E241" t="inlineStr">
        <is>
          <t>Precision Machine Works</t>
        </is>
      </c>
      <c r="F241" t="inlineStr">
        <is>
          <t>CNC cell, 5-year life, in service 2025-02-10</t>
        </is>
      </c>
      <c r="G241" t="inlineStr">
        <is>
          <t>1500</t>
        </is>
      </c>
      <c r="H241" t="inlineStr">
        <is>
          <t>Machinery and Equipment</t>
        </is>
      </c>
      <c r="I241" t="inlineStr">
        <is>
          <t>Product</t>
        </is>
      </c>
      <c r="J241">
        <f>48000.00</f>
        <v/>
      </c>
    </row>
    <row r="242">
      <c r="B242" t="inlineStr">
        <is>
          <t>02/10/2025</t>
        </is>
      </c>
      <c r="C242" t="inlineStr">
        <is>
          <t>Check</t>
        </is>
      </c>
      <c r="D242" t="inlineStr"/>
      <c r="E242" t="inlineStr">
        <is>
          <t>Precision Machine Works</t>
        </is>
      </c>
      <c r="F242" t="inlineStr">
        <is>
          <t>CNC cell, 5-year life, in service 2025-02-10</t>
        </is>
      </c>
      <c r="G242" t="inlineStr">
        <is>
          <t>1010</t>
        </is>
      </c>
      <c r="H242" t="inlineStr">
        <is>
          <t>Northgate Checking 7742</t>
        </is>
      </c>
      <c r="I242" t="inlineStr">
        <is>
          <t>Product</t>
        </is>
      </c>
      <c r="K242">
        <f>48000.00</f>
        <v/>
      </c>
    </row>
    <row r="243">
      <c r="A243" t="inlineStr">
        <is>
          <t>Total for T-00038</t>
        </is>
      </c>
      <c r="J243">
        <f>J241</f>
        <v/>
      </c>
      <c r="K243">
        <f>K242</f>
        <v/>
      </c>
    </row>
    <row r="244"/>
    <row r="245">
      <c r="A245" t="inlineStr">
        <is>
          <t>T-00044</t>
        </is>
      </c>
    </row>
    <row r="246">
      <c r="B246" t="inlineStr">
        <is>
          <t>02/10/2025</t>
        </is>
      </c>
      <c r="C246" t="inlineStr">
        <is>
          <t>Invoice</t>
        </is>
      </c>
      <c r="D246" t="inlineStr">
        <is>
          <t>INV-1002</t>
        </is>
      </c>
      <c r="E246" t="inlineStr">
        <is>
          <t>Helios Manufacturing LLC</t>
        </is>
      </c>
      <c r="F246" t="inlineStr">
        <is>
          <t>INV-1002 robot cell</t>
        </is>
      </c>
      <c r="G246" t="inlineStr">
        <is>
          <t>1100</t>
        </is>
      </c>
      <c r="H246" t="inlineStr">
        <is>
          <t>Accounts Receivable</t>
        </is>
      </c>
      <c r="I246" t="inlineStr">
        <is>
          <t>Product</t>
        </is>
      </c>
      <c r="J246">
        <f>30738.17</f>
        <v/>
      </c>
    </row>
    <row r="247">
      <c r="B247" t="inlineStr">
        <is>
          <t>02/10/2025</t>
        </is>
      </c>
      <c r="C247" t="inlineStr">
        <is>
          <t>Invoice</t>
        </is>
      </c>
      <c r="D247" t="inlineStr">
        <is>
          <t>INV-1002</t>
        </is>
      </c>
      <c r="E247" t="inlineStr">
        <is>
          <t>Helios Manufacturing LLC</t>
        </is>
      </c>
      <c r="F247" t="inlineStr">
        <is>
          <t>INV-1002 robot cell</t>
        </is>
      </c>
      <c r="G247" t="inlineStr">
        <is>
          <t>4000</t>
        </is>
      </c>
      <c r="H247" t="inlineStr">
        <is>
          <t>Product Revenue</t>
        </is>
      </c>
      <c r="I247" t="inlineStr">
        <is>
          <t>Product</t>
        </is>
      </c>
      <c r="K247">
        <f>30738.17</f>
        <v/>
      </c>
    </row>
    <row r="248">
      <c r="A248" t="inlineStr">
        <is>
          <t>Total for T-00044</t>
        </is>
      </c>
      <c r="J248">
        <f>J246</f>
        <v/>
      </c>
      <c r="K248">
        <f>K247</f>
        <v/>
      </c>
    </row>
    <row r="249"/>
    <row r="250">
      <c r="A250" t="inlineStr">
        <is>
          <t>T-00045</t>
        </is>
      </c>
    </row>
    <row r="251">
      <c r="B251" t="inlineStr">
        <is>
          <t>02/10/2025</t>
        </is>
      </c>
      <c r="C251" t="inlineStr">
        <is>
          <t>Invoice</t>
        </is>
      </c>
      <c r="D251" t="inlineStr">
        <is>
          <t>INV-1003</t>
        </is>
      </c>
      <c r="E251" t="inlineStr">
        <is>
          <t>Helios Manufacturing LLC</t>
        </is>
      </c>
      <c r="F251" t="inlineStr">
        <is>
          <t>INV-1003 support plan</t>
        </is>
      </c>
      <c r="G251" t="inlineStr">
        <is>
          <t>1100</t>
        </is>
      </c>
      <c r="H251" t="inlineStr">
        <is>
          <t>Accounts Receivable</t>
        </is>
      </c>
      <c r="I251" t="inlineStr">
        <is>
          <t>Services</t>
        </is>
      </c>
      <c r="J251">
        <f>6750.00</f>
        <v/>
      </c>
    </row>
    <row r="252">
      <c r="B252" t="inlineStr">
        <is>
          <t>02/10/2025</t>
        </is>
      </c>
      <c r="C252" t="inlineStr">
        <is>
          <t>Invoice</t>
        </is>
      </c>
      <c r="D252" t="inlineStr">
        <is>
          <t>INV-1003</t>
        </is>
      </c>
      <c r="E252" t="inlineStr">
        <is>
          <t>Helios Manufacturing LLC</t>
        </is>
      </c>
      <c r="F252" t="inlineStr">
        <is>
          <t>INV-1003 support plan</t>
        </is>
      </c>
      <c r="G252" t="inlineStr">
        <is>
          <t>4100</t>
        </is>
      </c>
      <c r="H252" t="inlineStr">
        <is>
          <t>Service Revenue</t>
        </is>
      </c>
      <c r="I252" t="inlineStr">
        <is>
          <t>Services</t>
        </is>
      </c>
      <c r="K252">
        <f>6750.00</f>
        <v/>
      </c>
    </row>
    <row r="253">
      <c r="A253" t="inlineStr">
        <is>
          <t>Total for T-00045</t>
        </is>
      </c>
      <c r="J253">
        <f>J251</f>
        <v/>
      </c>
      <c r="K253">
        <f>K252</f>
        <v/>
      </c>
    </row>
    <row r="254"/>
    <row r="255">
      <c r="A255" t="inlineStr">
        <is>
          <t>T-00046</t>
        </is>
      </c>
    </row>
    <row r="256">
      <c r="B256" t="inlineStr">
        <is>
          <t>02/10/2025</t>
        </is>
      </c>
      <c r="C256" t="inlineStr">
        <is>
          <t>Payment</t>
        </is>
      </c>
      <c r="D256" t="inlineStr"/>
      <c r="E256" t="inlineStr">
        <is>
          <t>Volt Dynamics Inc</t>
        </is>
      </c>
      <c r="F256" t="inlineStr">
        <is>
          <t>Payment on INV-1000</t>
        </is>
      </c>
      <c r="G256" t="inlineStr">
        <is>
          <t>1010</t>
        </is>
      </c>
      <c r="H256" t="inlineStr">
        <is>
          <t>Northgate Checking 7742</t>
        </is>
      </c>
      <c r="I256" t="inlineStr">
        <is>
          <t>Overhead</t>
        </is>
      </c>
      <c r="J256">
        <f>29266.31</f>
        <v/>
      </c>
    </row>
    <row r="257">
      <c r="B257" t="inlineStr">
        <is>
          <t>02/10/2025</t>
        </is>
      </c>
      <c r="C257" t="inlineStr">
        <is>
          <t>Payment</t>
        </is>
      </c>
      <c r="D257" t="inlineStr"/>
      <c r="E257" t="inlineStr">
        <is>
          <t>Volt Dynamics Inc</t>
        </is>
      </c>
      <c r="F257" t="inlineStr">
        <is>
          <t>Payment on INV-1000</t>
        </is>
      </c>
      <c r="G257" t="inlineStr">
        <is>
          <t>1100</t>
        </is>
      </c>
      <c r="H257" t="inlineStr">
        <is>
          <t>Accounts Receivable</t>
        </is>
      </c>
      <c r="I257" t="inlineStr">
        <is>
          <t>Overhead</t>
        </is>
      </c>
      <c r="K257">
        <f>29266.31</f>
        <v/>
      </c>
    </row>
    <row r="258">
      <c r="A258" t="inlineStr">
        <is>
          <t>Total for T-00046</t>
        </is>
      </c>
      <c r="J258">
        <f>J256</f>
        <v/>
      </c>
      <c r="K258">
        <f>K257</f>
        <v/>
      </c>
    </row>
    <row r="259"/>
    <row r="260">
      <c r="A260" t="inlineStr">
        <is>
          <t>T-00047</t>
        </is>
      </c>
    </row>
    <row r="261">
      <c r="B261" t="inlineStr">
        <is>
          <t>02/10/2025</t>
        </is>
      </c>
      <c r="C261" t="inlineStr">
        <is>
          <t>Payment</t>
        </is>
      </c>
      <c r="D261" t="inlineStr"/>
      <c r="E261" t="inlineStr">
        <is>
          <t>Volt Dynamics Inc</t>
        </is>
      </c>
      <c r="F261" t="inlineStr">
        <is>
          <t>Payment on INV-1001</t>
        </is>
      </c>
      <c r="G261" t="inlineStr">
        <is>
          <t>1010</t>
        </is>
      </c>
      <c r="H261" t="inlineStr">
        <is>
          <t>Northgate Checking 7742</t>
        </is>
      </c>
      <c r="I261" t="inlineStr">
        <is>
          <t>Overhead</t>
        </is>
      </c>
      <c r="J261">
        <f>6500.00</f>
        <v/>
      </c>
    </row>
    <row r="262">
      <c r="B262" t="inlineStr">
        <is>
          <t>02/10/2025</t>
        </is>
      </c>
      <c r="C262" t="inlineStr">
        <is>
          <t>Payment</t>
        </is>
      </c>
      <c r="D262" t="inlineStr"/>
      <c r="E262" t="inlineStr">
        <is>
          <t>Volt Dynamics Inc</t>
        </is>
      </c>
      <c r="F262" t="inlineStr">
        <is>
          <t>Payment on INV-1001</t>
        </is>
      </c>
      <c r="G262" t="inlineStr">
        <is>
          <t>1100</t>
        </is>
      </c>
      <c r="H262" t="inlineStr">
        <is>
          <t>Accounts Receivable</t>
        </is>
      </c>
      <c r="I262" t="inlineStr">
        <is>
          <t>Overhead</t>
        </is>
      </c>
      <c r="K262">
        <f>6500.00</f>
        <v/>
      </c>
    </row>
    <row r="263">
      <c r="A263" t="inlineStr">
        <is>
          <t>Total for T-00047</t>
        </is>
      </c>
      <c r="J263">
        <f>J261</f>
        <v/>
      </c>
      <c r="K263">
        <f>K262</f>
        <v/>
      </c>
    </row>
    <row r="264"/>
    <row r="265">
      <c r="A265" t="inlineStr">
        <is>
          <t>T-00069</t>
        </is>
      </c>
    </row>
    <row r="266">
      <c r="B266" t="inlineStr">
        <is>
          <t>02/10/2025</t>
        </is>
      </c>
      <c r="C266" t="inlineStr">
        <is>
          <t>Expense</t>
        </is>
      </c>
      <c r="D266" t="inlineStr"/>
      <c r="E266" t="inlineStr">
        <is>
          <t>Northwind Supply</t>
        </is>
      </c>
      <c r="F266" t="inlineStr">
        <is>
          <t>Northwind Supply invoice 58107</t>
        </is>
      </c>
      <c r="G266" t="inlineStr">
        <is>
          <t>5000</t>
        </is>
      </c>
      <c r="H266" t="inlineStr">
        <is>
          <t>Cost of Goods Sold - Components</t>
        </is>
      </c>
      <c r="I266" t="inlineStr">
        <is>
          <t>Product</t>
        </is>
      </c>
      <c r="J266">
        <f>355.43</f>
        <v/>
      </c>
    </row>
    <row r="267">
      <c r="B267" t="inlineStr">
        <is>
          <t>02/10/2025</t>
        </is>
      </c>
      <c r="C267" t="inlineStr">
        <is>
          <t>Expense</t>
        </is>
      </c>
      <c r="D267" t="inlineStr"/>
      <c r="E267" t="inlineStr">
        <is>
          <t>Northwind Supply</t>
        </is>
      </c>
      <c r="F267" t="inlineStr">
        <is>
          <t>Northwind Supply invoice 58107</t>
        </is>
      </c>
      <c r="G267" t="inlineStr">
        <is>
          <t>1010</t>
        </is>
      </c>
      <c r="H267" t="inlineStr">
        <is>
          <t>Northgate Checking 7742</t>
        </is>
      </c>
      <c r="I267" t="inlineStr">
        <is>
          <t>Product</t>
        </is>
      </c>
      <c r="K267">
        <f>355.43</f>
        <v/>
      </c>
    </row>
    <row r="268">
      <c r="A268" t="inlineStr">
        <is>
          <t>Total for T-00069</t>
        </is>
      </c>
      <c r="J268">
        <f>J266</f>
        <v/>
      </c>
      <c r="K268">
        <f>K267</f>
        <v/>
      </c>
    </row>
    <row r="269"/>
    <row r="270">
      <c r="A270" t="inlineStr">
        <is>
          <t>T-00073</t>
        </is>
      </c>
    </row>
    <row r="271">
      <c r="B271" t="inlineStr">
        <is>
          <t>02/11/2025</t>
        </is>
      </c>
      <c r="C271" t="inlineStr">
        <is>
          <t>Expense</t>
        </is>
      </c>
      <c r="D271" t="inlineStr"/>
      <c r="E271" t="inlineStr">
        <is>
          <t>Bluepeak Engineering</t>
        </is>
      </c>
      <c r="F271" t="inlineStr">
        <is>
          <t>Bluepeak Engineering invoice 93540</t>
        </is>
      </c>
      <c r="G271" t="inlineStr">
        <is>
          <t>6100</t>
        </is>
      </c>
      <c r="H271" t="inlineStr">
        <is>
          <t>Contract Engineering</t>
        </is>
      </c>
      <c r="I271" t="inlineStr">
        <is>
          <t>Product</t>
        </is>
      </c>
      <c r="J271">
        <f>1114.09</f>
        <v/>
      </c>
    </row>
    <row r="272">
      <c r="B272" t="inlineStr">
        <is>
          <t>02/11/2025</t>
        </is>
      </c>
      <c r="C272" t="inlineStr">
        <is>
          <t>Expense</t>
        </is>
      </c>
      <c r="D272" t="inlineStr"/>
      <c r="E272" t="inlineStr">
        <is>
          <t>Bluepeak Engineering</t>
        </is>
      </c>
      <c r="F272" t="inlineStr">
        <is>
          <t>Bluepeak Engineering invoice 93540</t>
        </is>
      </c>
      <c r="G272" t="inlineStr">
        <is>
          <t>1010</t>
        </is>
      </c>
      <c r="H272" t="inlineStr">
        <is>
          <t>Northgate Checking 7742</t>
        </is>
      </c>
      <c r="I272" t="inlineStr">
        <is>
          <t>Product</t>
        </is>
      </c>
      <c r="K272">
        <f>1114.09</f>
        <v/>
      </c>
    </row>
    <row r="273">
      <c r="A273" t="inlineStr">
        <is>
          <t>Total for T-00073</t>
        </is>
      </c>
      <c r="J273">
        <f>J271</f>
        <v/>
      </c>
      <c r="K273">
        <f>K272</f>
        <v/>
      </c>
    </row>
    <row r="274"/>
    <row r="275">
      <c r="A275" t="inlineStr">
        <is>
          <t>T-00048</t>
        </is>
      </c>
    </row>
    <row r="276">
      <c r="B276" t="inlineStr">
        <is>
          <t>02/12/2025</t>
        </is>
      </c>
      <c r="C276" t="inlineStr">
        <is>
          <t>Bill Payment</t>
        </is>
      </c>
      <c r="D276" t="inlineStr"/>
      <c r="E276" t="inlineStr">
        <is>
          <t>Northwind Supply</t>
        </is>
      </c>
      <c r="F276" t="inlineStr">
        <is>
          <t>Payment on NWS-4400</t>
        </is>
      </c>
      <c r="G276" t="inlineStr">
        <is>
          <t>2010</t>
        </is>
      </c>
      <c r="H276" t="inlineStr">
        <is>
          <t>Accounts Payable</t>
        </is>
      </c>
      <c r="I276" t="inlineStr">
        <is>
          <t>Product</t>
        </is>
      </c>
      <c r="J276">
        <f>9231.03</f>
        <v/>
      </c>
    </row>
    <row r="277">
      <c r="B277" t="inlineStr">
        <is>
          <t>02/12/2025</t>
        </is>
      </c>
      <c r="C277" t="inlineStr">
        <is>
          <t>Bill Payment</t>
        </is>
      </c>
      <c r="D277" t="inlineStr"/>
      <c r="E277" t="inlineStr">
        <is>
          <t>Northwind Supply</t>
        </is>
      </c>
      <c r="F277" t="inlineStr">
        <is>
          <t>Payment on NWS-4400</t>
        </is>
      </c>
      <c r="G277" t="inlineStr">
        <is>
          <t>1010</t>
        </is>
      </c>
      <c r="H277" t="inlineStr">
        <is>
          <t>Northgate Checking 7742</t>
        </is>
      </c>
      <c r="I277" t="inlineStr">
        <is>
          <t>Product</t>
        </is>
      </c>
      <c r="K277">
        <f>9231.03</f>
        <v/>
      </c>
    </row>
    <row r="278">
      <c r="A278" t="inlineStr">
        <is>
          <t>Total for T-00048</t>
        </is>
      </c>
      <c r="J278">
        <f>J276</f>
        <v/>
      </c>
      <c r="K278">
        <f>K277</f>
        <v/>
      </c>
    </row>
    <row r="279"/>
    <row r="280">
      <c r="A280" t="inlineStr">
        <is>
          <t>T-00063</t>
        </is>
      </c>
    </row>
    <row r="281">
      <c r="B281" t="inlineStr">
        <is>
          <t>02/12/2025</t>
        </is>
      </c>
      <c r="C281" t="inlineStr">
        <is>
          <t>Credit Card Charge</t>
        </is>
      </c>
      <c r="D281" t="inlineStr"/>
      <c r="E281" t="inlineStr">
        <is>
          <t>Cascade Office</t>
        </is>
      </c>
      <c r="F281" t="inlineStr">
        <is>
          <t>Cascade Office 2025-02</t>
        </is>
      </c>
      <c r="G281" t="inlineStr">
        <is>
          <t>6700</t>
        </is>
      </c>
      <c r="H281" t="inlineStr">
        <is>
          <t>Office Supplies</t>
        </is>
      </c>
      <c r="I281" t="inlineStr">
        <is>
          <t>Overhead</t>
        </is>
      </c>
      <c r="J281">
        <f>324.36</f>
        <v/>
      </c>
    </row>
    <row r="282">
      <c r="B282" t="inlineStr">
        <is>
          <t>02/12/2025</t>
        </is>
      </c>
      <c r="C282" t="inlineStr">
        <is>
          <t>Credit Card Charge</t>
        </is>
      </c>
      <c r="D282" t="inlineStr"/>
      <c r="E282" t="inlineStr">
        <is>
          <t>Cascade Office</t>
        </is>
      </c>
      <c r="F282" t="inlineStr">
        <is>
          <t>Cascade Office 2025-02</t>
        </is>
      </c>
      <c r="G282" t="inlineStr">
        <is>
          <t>2100</t>
        </is>
      </c>
      <c r="H282" t="inlineStr">
        <is>
          <t>Vantage Card 3391</t>
        </is>
      </c>
      <c r="I282" t="inlineStr">
        <is>
          <t>Overhead</t>
        </is>
      </c>
      <c r="K282">
        <f>324.36</f>
        <v/>
      </c>
    </row>
    <row r="283">
      <c r="A283" t="inlineStr">
        <is>
          <t>Total for T-00063</t>
        </is>
      </c>
      <c r="J283">
        <f>J281</f>
        <v/>
      </c>
      <c r="K283">
        <f>K282</f>
        <v/>
      </c>
    </row>
    <row r="284"/>
    <row r="285">
      <c r="A285" t="inlineStr">
        <is>
          <t>T-00074</t>
        </is>
      </c>
    </row>
    <row r="286">
      <c r="B286" t="inlineStr">
        <is>
          <t>02/12/2025</t>
        </is>
      </c>
      <c r="C286" t="inlineStr">
        <is>
          <t>Expense</t>
        </is>
      </c>
      <c r="D286" t="inlineStr"/>
      <c r="E286" t="inlineStr">
        <is>
          <t>Quartz CAD Services</t>
        </is>
      </c>
      <c r="F286" t="inlineStr">
        <is>
          <t>Quartz CAD Services invoice 48841</t>
        </is>
      </c>
      <c r="G286" t="inlineStr">
        <is>
          <t>6100</t>
        </is>
      </c>
      <c r="H286" t="inlineStr">
        <is>
          <t>Contract Engineering</t>
        </is>
      </c>
      <c r="I286" t="inlineStr">
        <is>
          <t>Product</t>
        </is>
      </c>
      <c r="J286">
        <f>670.57</f>
        <v/>
      </c>
    </row>
    <row r="287">
      <c r="B287" t="inlineStr">
        <is>
          <t>02/12/2025</t>
        </is>
      </c>
      <c r="C287" t="inlineStr">
        <is>
          <t>Expense</t>
        </is>
      </c>
      <c r="D287" t="inlineStr"/>
      <c r="E287" t="inlineStr">
        <is>
          <t>Quartz CAD Services</t>
        </is>
      </c>
      <c r="F287" t="inlineStr">
        <is>
          <t>Quartz CAD Services invoice 48841</t>
        </is>
      </c>
      <c r="G287" t="inlineStr">
        <is>
          <t>1010</t>
        </is>
      </c>
      <c r="H287" t="inlineStr">
        <is>
          <t>Northgate Checking 7742</t>
        </is>
      </c>
      <c r="I287" t="inlineStr">
        <is>
          <t>Product</t>
        </is>
      </c>
      <c r="K287">
        <f>670.57</f>
        <v/>
      </c>
    </row>
    <row r="288">
      <c r="A288" t="inlineStr">
        <is>
          <t>Total for T-00074</t>
        </is>
      </c>
      <c r="J288">
        <f>J286</f>
        <v/>
      </c>
      <c r="K288">
        <f>K287</f>
        <v/>
      </c>
    </row>
    <row r="289"/>
    <row r="290">
      <c r="A290" t="inlineStr">
        <is>
          <t>T-00064</t>
        </is>
      </c>
    </row>
    <row r="291">
      <c r="B291" t="inlineStr">
        <is>
          <t>02/13/2025</t>
        </is>
      </c>
      <c r="C291" t="inlineStr">
        <is>
          <t>Expense</t>
        </is>
      </c>
      <c r="D291" t="inlineStr"/>
      <c r="E291" t="inlineStr">
        <is>
          <t>Litware Legal</t>
        </is>
      </c>
      <c r="F291" t="inlineStr">
        <is>
          <t>Litware Legal invoice 13411</t>
        </is>
      </c>
      <c r="G291" t="inlineStr">
        <is>
          <t>6800</t>
        </is>
      </c>
      <c r="H291" t="inlineStr">
        <is>
          <t>Professional Fees</t>
        </is>
      </c>
      <c r="I291" t="inlineStr">
        <is>
          <t>Overhead</t>
        </is>
      </c>
      <c r="J291">
        <f>774.88</f>
        <v/>
      </c>
    </row>
    <row r="292">
      <c r="B292" t="inlineStr">
        <is>
          <t>02/13/2025</t>
        </is>
      </c>
      <c r="C292" t="inlineStr">
        <is>
          <t>Expense</t>
        </is>
      </c>
      <c r="D292" t="inlineStr"/>
      <c r="E292" t="inlineStr">
        <is>
          <t>Litware Legal</t>
        </is>
      </c>
      <c r="F292" t="inlineStr">
        <is>
          <t>Litware Legal invoice 13411</t>
        </is>
      </c>
      <c r="G292" t="inlineStr">
        <is>
          <t>1010</t>
        </is>
      </c>
      <c r="H292" t="inlineStr">
        <is>
          <t>Northgate Checking 7742</t>
        </is>
      </c>
      <c r="I292" t="inlineStr">
        <is>
          <t>Overhead</t>
        </is>
      </c>
      <c r="K292">
        <f>774.88</f>
        <v/>
      </c>
    </row>
    <row r="293">
      <c r="A293" t="inlineStr">
        <is>
          <t>Total for T-00064</t>
        </is>
      </c>
      <c r="J293">
        <f>J291</f>
        <v/>
      </c>
      <c r="K293">
        <f>K292</f>
        <v/>
      </c>
    </row>
    <row r="294"/>
    <row r="295">
      <c r="A295" t="inlineStr">
        <is>
          <t>T-00050</t>
        </is>
      </c>
    </row>
    <row r="296">
      <c r="B296" t="inlineStr">
        <is>
          <t>02/15/2025</t>
        </is>
      </c>
      <c r="C296" t="inlineStr">
        <is>
          <t>Expense</t>
        </is>
      </c>
      <c r="D296" t="inlineStr"/>
      <c r="E296" t="inlineStr">
        <is>
          <t>Proseware Payroll</t>
        </is>
      </c>
      <c r="F296" t="inlineStr">
        <is>
          <t>Payroll 2025-02-15 gross wages</t>
        </is>
      </c>
      <c r="G296" t="inlineStr">
        <is>
          <t>6000</t>
        </is>
      </c>
      <c r="H296" t="inlineStr">
        <is>
          <t>Salaries and Wages</t>
        </is>
      </c>
      <c r="I296" t="inlineStr">
        <is>
          <t>Overhead</t>
        </is>
      </c>
      <c r="J296">
        <f>19450.00</f>
        <v/>
      </c>
    </row>
    <row r="297">
      <c r="B297" t="inlineStr">
        <is>
          <t>02/15/2025</t>
        </is>
      </c>
      <c r="C297" t="inlineStr">
        <is>
          <t>Expense</t>
        </is>
      </c>
      <c r="D297" t="inlineStr"/>
      <c r="E297" t="inlineStr">
        <is>
          <t>Proseware Payroll</t>
        </is>
      </c>
      <c r="F297" t="inlineStr">
        <is>
          <t>Payroll 2025-02-15 employer taxes</t>
        </is>
      </c>
      <c r="G297" t="inlineStr">
        <is>
          <t>6010</t>
        </is>
      </c>
      <c r="H297" t="inlineStr">
        <is>
          <t>Payroll Taxes</t>
        </is>
      </c>
      <c r="I297" t="inlineStr">
        <is>
          <t>Overhead</t>
        </is>
      </c>
      <c r="J297">
        <f>1487.92</f>
        <v/>
      </c>
    </row>
    <row r="298">
      <c r="B298" t="inlineStr">
        <is>
          <t>02/15/2025</t>
        </is>
      </c>
      <c r="C298" t="inlineStr">
        <is>
          <t>Expense</t>
        </is>
      </c>
      <c r="D298" t="inlineStr"/>
      <c r="E298" t="inlineStr">
        <is>
          <t>Proseware Payroll</t>
        </is>
      </c>
      <c r="F298" t="inlineStr">
        <is>
          <t>Proseware payroll debit 2025-02-15</t>
        </is>
      </c>
      <c r="G298" t="inlineStr">
        <is>
          <t>1010</t>
        </is>
      </c>
      <c r="H298" t="inlineStr">
        <is>
          <t>Northgate Checking 7742</t>
        </is>
      </c>
      <c r="I298" t="inlineStr">
        <is>
          <t>Overhead</t>
        </is>
      </c>
      <c r="K298">
        <f>20937.92</f>
        <v/>
      </c>
    </row>
    <row r="299">
      <c r="A299" t="inlineStr">
        <is>
          <t>Total for T-00050</t>
        </is>
      </c>
      <c r="J299">
        <f>J296+J297</f>
        <v/>
      </c>
      <c r="K299">
        <f>K298</f>
        <v/>
      </c>
    </row>
    <row r="300"/>
    <row r="301">
      <c r="A301" t="inlineStr">
        <is>
          <t>T-00052</t>
        </is>
      </c>
    </row>
    <row r="302">
      <c r="B302" t="inlineStr">
        <is>
          <t>02/15/2025</t>
        </is>
      </c>
      <c r="C302" t="inlineStr">
        <is>
          <t>Deposit</t>
        </is>
      </c>
      <c r="D302" t="inlineStr"/>
      <c r="E302" t="inlineStr">
        <is>
          <t>Paylane</t>
        </is>
      </c>
      <c r="F302" t="inlineStr">
        <is>
          <t>Paylane payout 2025-02 #1</t>
        </is>
      </c>
      <c r="G302" t="inlineStr">
        <is>
          <t>1010</t>
        </is>
      </c>
      <c r="H302" t="inlineStr">
        <is>
          <t>Northgate Checking 7742</t>
        </is>
      </c>
      <c r="I302" t="inlineStr">
        <is>
          <t>Product</t>
        </is>
      </c>
      <c r="J302">
        <f>13408.20</f>
        <v/>
      </c>
    </row>
    <row r="303">
      <c r="B303" t="inlineStr">
        <is>
          <t>02/15/2025</t>
        </is>
      </c>
      <c r="C303" t="inlineStr">
        <is>
          <t>Deposit</t>
        </is>
      </c>
      <c r="D303" t="inlineStr"/>
      <c r="E303" t="inlineStr">
        <is>
          <t>Paylane</t>
        </is>
      </c>
      <c r="F303" t="inlineStr">
        <is>
          <t>Paylane payout 2025-02 #1</t>
        </is>
      </c>
      <c r="G303" t="inlineStr">
        <is>
          <t>1200</t>
        </is>
      </c>
      <c r="H303" t="inlineStr">
        <is>
          <t>Paylane Clearing</t>
        </is>
      </c>
      <c r="I303" t="inlineStr">
        <is>
          <t>Product</t>
        </is>
      </c>
      <c r="K303">
        <f>13408.20</f>
        <v/>
      </c>
    </row>
    <row r="304">
      <c r="A304" t="inlineStr">
        <is>
          <t>Total for T-00052</t>
        </is>
      </c>
      <c r="J304">
        <f>J302</f>
        <v/>
      </c>
      <c r="K304">
        <f>K303</f>
        <v/>
      </c>
    </row>
    <row r="305"/>
    <row r="306">
      <c r="A306" t="inlineStr">
        <is>
          <t>T-00068</t>
        </is>
      </c>
    </row>
    <row r="307">
      <c r="B307" t="inlineStr">
        <is>
          <t>02/16/2025</t>
        </is>
      </c>
      <c r="C307" t="inlineStr">
        <is>
          <t>Expense</t>
        </is>
      </c>
      <c r="D307" t="inlineStr"/>
      <c r="E307" t="inlineStr">
        <is>
          <t>Bluepeak Engineering</t>
        </is>
      </c>
      <c r="F307" t="inlineStr">
        <is>
          <t>Bluepeak Engineering invoice 53096</t>
        </is>
      </c>
      <c r="G307" t="inlineStr">
        <is>
          <t>6100</t>
        </is>
      </c>
      <c r="H307" t="inlineStr">
        <is>
          <t>Contract Engineering</t>
        </is>
      </c>
      <c r="I307" t="inlineStr">
        <is>
          <t>Product</t>
        </is>
      </c>
      <c r="J307">
        <f>1074.62</f>
        <v/>
      </c>
    </row>
    <row r="308">
      <c r="B308" t="inlineStr">
        <is>
          <t>02/16/2025</t>
        </is>
      </c>
      <c r="C308" t="inlineStr">
        <is>
          <t>Expense</t>
        </is>
      </c>
      <c r="D308" t="inlineStr"/>
      <c r="E308" t="inlineStr">
        <is>
          <t>Bluepeak Engineering</t>
        </is>
      </c>
      <c r="F308" t="inlineStr">
        <is>
          <t>Bluepeak Engineering invoice 53096</t>
        </is>
      </c>
      <c r="G308" t="inlineStr">
        <is>
          <t>1010</t>
        </is>
      </c>
      <c r="H308" t="inlineStr">
        <is>
          <t>Northgate Checking 7742</t>
        </is>
      </c>
      <c r="I308" t="inlineStr">
        <is>
          <t>Product</t>
        </is>
      </c>
      <c r="K308">
        <f>1074.62</f>
        <v/>
      </c>
    </row>
    <row r="309">
      <c r="A309" t="inlineStr">
        <is>
          <t>Total for T-00068</t>
        </is>
      </c>
      <c r="J309">
        <f>J307</f>
        <v/>
      </c>
      <c r="K309">
        <f>K308</f>
        <v/>
      </c>
    </row>
    <row r="310"/>
    <row r="311">
      <c r="A311" t="inlineStr">
        <is>
          <t>T-00055</t>
        </is>
      </c>
    </row>
    <row r="312">
      <c r="B312" t="inlineStr">
        <is>
          <t>02/18/2025</t>
        </is>
      </c>
      <c r="C312" t="inlineStr">
        <is>
          <t>Expense</t>
        </is>
      </c>
      <c r="D312" t="inlineStr"/>
      <c r="E312" t="inlineStr">
        <is>
          <t>Trey Research</t>
        </is>
      </c>
      <c r="F312" t="inlineStr">
        <is>
          <t>Trey Research monthly engagement</t>
        </is>
      </c>
      <c r="G312" t="inlineStr">
        <is>
          <t>6800</t>
        </is>
      </c>
      <c r="H312" t="inlineStr">
        <is>
          <t>Professional Fees</t>
        </is>
      </c>
      <c r="I312" t="inlineStr">
        <is>
          <t>Overhead</t>
        </is>
      </c>
      <c r="J312">
        <f>3179.36</f>
        <v/>
      </c>
    </row>
    <row r="313">
      <c r="B313" t="inlineStr">
        <is>
          <t>02/18/2025</t>
        </is>
      </c>
      <c r="C313" t="inlineStr">
        <is>
          <t>Expense</t>
        </is>
      </c>
      <c r="D313" t="inlineStr"/>
      <c r="E313" t="inlineStr">
        <is>
          <t>Trey Research</t>
        </is>
      </c>
      <c r="F313" t="inlineStr">
        <is>
          <t>Trey Research monthly engagement</t>
        </is>
      </c>
      <c r="G313" t="inlineStr">
        <is>
          <t>1010</t>
        </is>
      </c>
      <c r="H313" t="inlineStr">
        <is>
          <t>Northgate Checking 7742</t>
        </is>
      </c>
      <c r="I313" t="inlineStr">
        <is>
          <t>Overhead</t>
        </is>
      </c>
      <c r="K313">
        <f>3179.36</f>
        <v/>
      </c>
    </row>
    <row r="314">
      <c r="A314" t="inlineStr">
        <is>
          <t>Total for T-00055</t>
        </is>
      </c>
      <c r="J314">
        <f>J312</f>
        <v/>
      </c>
      <c r="K314">
        <f>K313</f>
        <v/>
      </c>
    </row>
    <row r="315"/>
    <row r="316">
      <c r="A316" t="inlineStr">
        <is>
          <t>T-00071</t>
        </is>
      </c>
    </row>
    <row r="317">
      <c r="B317" t="inlineStr">
        <is>
          <t>02/18/2025</t>
        </is>
      </c>
      <c r="C317" t="inlineStr">
        <is>
          <t>Credit Card Charge</t>
        </is>
      </c>
      <c r="D317" t="inlineStr"/>
      <c r="E317" t="inlineStr">
        <is>
          <t>Lumina Ads</t>
        </is>
      </c>
      <c r="F317" t="inlineStr">
        <is>
          <t>Lumina Ads 2025-02</t>
        </is>
      </c>
      <c r="G317" t="inlineStr">
        <is>
          <t>6600</t>
        </is>
      </c>
      <c r="H317" t="inlineStr">
        <is>
          <t>Marketing and Advertising</t>
        </is>
      </c>
      <c r="I317" t="inlineStr">
        <is>
          <t>Overhead</t>
        </is>
      </c>
      <c r="J317">
        <f>2060.34</f>
        <v/>
      </c>
    </row>
    <row r="318">
      <c r="B318" t="inlineStr">
        <is>
          <t>02/18/2025</t>
        </is>
      </c>
      <c r="C318" t="inlineStr">
        <is>
          <t>Credit Card Charge</t>
        </is>
      </c>
      <c r="D318" t="inlineStr"/>
      <c r="E318" t="inlineStr">
        <is>
          <t>Lumina Ads</t>
        </is>
      </c>
      <c r="F318" t="inlineStr">
        <is>
          <t>Lumina Ads 2025-02</t>
        </is>
      </c>
      <c r="G318" t="inlineStr">
        <is>
          <t>2100</t>
        </is>
      </c>
      <c r="H318" t="inlineStr">
        <is>
          <t>Vantage Card 3391</t>
        </is>
      </c>
      <c r="I318" t="inlineStr">
        <is>
          <t>Overhead</t>
        </is>
      </c>
      <c r="K318">
        <f>2060.34</f>
        <v/>
      </c>
    </row>
    <row r="319">
      <c r="A319" t="inlineStr">
        <is>
          <t>Total for T-00071</t>
        </is>
      </c>
      <c r="J319">
        <f>J317</f>
        <v/>
      </c>
      <c r="K319">
        <f>K318</f>
        <v/>
      </c>
    </row>
    <row r="320"/>
    <row r="321">
      <c r="A321" t="inlineStr">
        <is>
          <t>T-00049</t>
        </is>
      </c>
    </row>
    <row r="322">
      <c r="B322" t="inlineStr">
        <is>
          <t>02/20/2025</t>
        </is>
      </c>
      <c r="C322" t="inlineStr">
        <is>
          <t>Bill</t>
        </is>
      </c>
      <c r="D322" t="inlineStr">
        <is>
          <t>NWS-4401</t>
        </is>
      </c>
      <c r="E322" t="inlineStr">
        <is>
          <t>Northwind Supply</t>
        </is>
      </c>
      <c r="F322" t="inlineStr">
        <is>
          <t>NWS-4401 components</t>
        </is>
      </c>
      <c r="G322" t="inlineStr">
        <is>
          <t>5000</t>
        </is>
      </c>
      <c r="H322" t="inlineStr">
        <is>
          <t>Cost of Goods Sold - Components</t>
        </is>
      </c>
      <c r="I322" t="inlineStr">
        <is>
          <t>Product</t>
        </is>
      </c>
      <c r="J322">
        <f>10151.29</f>
        <v/>
      </c>
    </row>
    <row r="323">
      <c r="B323" t="inlineStr">
        <is>
          <t>02/20/2025</t>
        </is>
      </c>
      <c r="C323" t="inlineStr">
        <is>
          <t>Bill</t>
        </is>
      </c>
      <c r="D323" t="inlineStr">
        <is>
          <t>NWS-4401</t>
        </is>
      </c>
      <c r="E323" t="inlineStr">
        <is>
          <t>Northwind Supply</t>
        </is>
      </c>
      <c r="F323" t="inlineStr">
        <is>
          <t>NWS-4401 components</t>
        </is>
      </c>
      <c r="G323" t="inlineStr">
        <is>
          <t>2010</t>
        </is>
      </c>
      <c r="H323" t="inlineStr">
        <is>
          <t>Accounts Payable</t>
        </is>
      </c>
      <c r="I323" t="inlineStr">
        <is>
          <t>Product</t>
        </is>
      </c>
      <c r="K323">
        <f>10151.29</f>
        <v/>
      </c>
    </row>
    <row r="324">
      <c r="A324" t="inlineStr">
        <is>
          <t>Total for T-00049</t>
        </is>
      </c>
      <c r="J324">
        <f>J322</f>
        <v/>
      </c>
      <c r="K324">
        <f>K323</f>
        <v/>
      </c>
    </row>
    <row r="325"/>
    <row r="326">
      <c r="A326" t="inlineStr">
        <is>
          <t>T-00060</t>
        </is>
      </c>
    </row>
    <row r="327">
      <c r="B327" t="inlineStr">
        <is>
          <t>02/20/2025</t>
        </is>
      </c>
      <c r="C327" t="inlineStr">
        <is>
          <t>Credit Card Charge</t>
        </is>
      </c>
      <c r="D327" t="inlineStr"/>
      <c r="E327" t="inlineStr">
        <is>
          <t>Tailspin Tools</t>
        </is>
      </c>
      <c r="F327" t="inlineStr">
        <is>
          <t>Tailspin Tools 2025-02</t>
        </is>
      </c>
      <c r="G327" t="inlineStr">
        <is>
          <t>6200</t>
        </is>
      </c>
      <c r="H327" t="inlineStr">
        <is>
          <t>Software Subscriptions</t>
        </is>
      </c>
      <c r="I327" t="inlineStr">
        <is>
          <t>Overhead</t>
        </is>
      </c>
      <c r="J327">
        <f>121.30</f>
        <v/>
      </c>
    </row>
    <row r="328">
      <c r="B328" t="inlineStr">
        <is>
          <t>02/20/2025</t>
        </is>
      </c>
      <c r="C328" t="inlineStr">
        <is>
          <t>Credit Card Charge</t>
        </is>
      </c>
      <c r="D328" t="inlineStr"/>
      <c r="E328" t="inlineStr">
        <is>
          <t>Tailspin Tools</t>
        </is>
      </c>
      <c r="F328" t="inlineStr">
        <is>
          <t>Tailspin Tools 2025-02</t>
        </is>
      </c>
      <c r="G328" t="inlineStr">
        <is>
          <t>2100</t>
        </is>
      </c>
      <c r="H328" t="inlineStr">
        <is>
          <t>Vantage Card 3391</t>
        </is>
      </c>
      <c r="I328" t="inlineStr">
        <is>
          <t>Overhead</t>
        </is>
      </c>
      <c r="K328">
        <f>121.30</f>
        <v/>
      </c>
    </row>
    <row r="329">
      <c r="A329" t="inlineStr">
        <is>
          <t>Total for T-00060</t>
        </is>
      </c>
      <c r="J329">
        <f>J327</f>
        <v/>
      </c>
      <c r="K329">
        <f>K328</f>
        <v/>
      </c>
    </row>
    <row r="330"/>
    <row r="331">
      <c r="A331" t="inlineStr">
        <is>
          <t>T-00066</t>
        </is>
      </c>
    </row>
    <row r="332">
      <c r="B332" t="inlineStr">
        <is>
          <t>02/20/2025</t>
        </is>
      </c>
      <c r="C332" t="inlineStr">
        <is>
          <t>Expense</t>
        </is>
      </c>
      <c r="D332" t="inlineStr"/>
      <c r="E332" t="inlineStr">
        <is>
          <t>Bluepeak Engineering</t>
        </is>
      </c>
      <c r="F332" t="inlineStr">
        <is>
          <t>Bluepeak Engineering invoice 22348</t>
        </is>
      </c>
      <c r="G332" t="inlineStr">
        <is>
          <t>6100</t>
        </is>
      </c>
      <c r="H332" t="inlineStr">
        <is>
          <t>Contract Engineering</t>
        </is>
      </c>
      <c r="I332" t="inlineStr">
        <is>
          <t>Product</t>
        </is>
      </c>
      <c r="J332">
        <f>1728.34</f>
        <v/>
      </c>
    </row>
    <row r="333">
      <c r="B333" t="inlineStr">
        <is>
          <t>02/20/2025</t>
        </is>
      </c>
      <c r="C333" t="inlineStr">
        <is>
          <t>Expense</t>
        </is>
      </c>
      <c r="D333" t="inlineStr"/>
      <c r="E333" t="inlineStr">
        <is>
          <t>Bluepeak Engineering</t>
        </is>
      </c>
      <c r="F333" t="inlineStr">
        <is>
          <t>Bluepeak Engineering invoice 22348</t>
        </is>
      </c>
      <c r="G333" t="inlineStr">
        <is>
          <t>1010</t>
        </is>
      </c>
      <c r="H333" t="inlineStr">
        <is>
          <t>Northgate Checking 7742</t>
        </is>
      </c>
      <c r="I333" t="inlineStr">
        <is>
          <t>Product</t>
        </is>
      </c>
      <c r="K333">
        <f>1728.34</f>
        <v/>
      </c>
    </row>
    <row r="334">
      <c r="A334" t="inlineStr">
        <is>
          <t>Total for T-00066</t>
        </is>
      </c>
      <c r="J334">
        <f>J332</f>
        <v/>
      </c>
      <c r="K334">
        <f>K333</f>
        <v/>
      </c>
    </row>
    <row r="335"/>
    <row r="336">
      <c r="A336" t="inlineStr">
        <is>
          <t>T-00070</t>
        </is>
      </c>
    </row>
    <row r="337">
      <c r="B337" t="inlineStr">
        <is>
          <t>02/20/2025</t>
        </is>
      </c>
      <c r="C337" t="inlineStr">
        <is>
          <t>Credit Card Charge</t>
        </is>
      </c>
      <c r="D337" t="inlineStr"/>
      <c r="E337" t="inlineStr">
        <is>
          <t>Tailspin Tools</t>
        </is>
      </c>
      <c r="F337" t="inlineStr">
        <is>
          <t>Tailspin Tools 2025-02</t>
        </is>
      </c>
      <c r="G337" t="inlineStr">
        <is>
          <t>6200</t>
        </is>
      </c>
      <c r="H337" t="inlineStr">
        <is>
          <t>Software Subscriptions</t>
        </is>
      </c>
      <c r="I337" t="inlineStr">
        <is>
          <t>Overhead</t>
        </is>
      </c>
      <c r="J337">
        <f>132.87</f>
        <v/>
      </c>
    </row>
    <row r="338">
      <c r="B338" t="inlineStr">
        <is>
          <t>02/20/2025</t>
        </is>
      </c>
      <c r="C338" t="inlineStr">
        <is>
          <t>Credit Card Charge</t>
        </is>
      </c>
      <c r="D338" t="inlineStr"/>
      <c r="E338" t="inlineStr">
        <is>
          <t>Tailspin Tools</t>
        </is>
      </c>
      <c r="F338" t="inlineStr">
        <is>
          <t>Tailspin Tools 2025-02</t>
        </is>
      </c>
      <c r="G338" t="inlineStr">
        <is>
          <t>2100</t>
        </is>
      </c>
      <c r="H338" t="inlineStr">
        <is>
          <t>Vantage Card 3391</t>
        </is>
      </c>
      <c r="I338" t="inlineStr">
        <is>
          <t>Overhead</t>
        </is>
      </c>
      <c r="K338">
        <f>132.87</f>
        <v/>
      </c>
    </row>
    <row r="339">
      <c r="A339" t="inlineStr">
        <is>
          <t>Total for T-00070</t>
        </is>
      </c>
      <c r="J339">
        <f>J337</f>
        <v/>
      </c>
      <c r="K339">
        <f>K338</f>
        <v/>
      </c>
    </row>
    <row r="340"/>
    <row r="341">
      <c r="A341" t="inlineStr">
        <is>
          <t>T-00041</t>
        </is>
      </c>
    </row>
    <row r="342">
      <c r="B342" t="inlineStr">
        <is>
          <t>02/22/2025</t>
        </is>
      </c>
      <c r="C342" t="inlineStr">
        <is>
          <t>Credit Card Charge</t>
        </is>
      </c>
      <c r="D342" t="inlineStr"/>
      <c r="E342" t="inlineStr">
        <is>
          <t>Fabrikam Freight</t>
        </is>
      </c>
      <c r="F342" t="inlineStr">
        <is>
          <t>Outbound freight 2025-02</t>
        </is>
      </c>
      <c r="G342" t="inlineStr">
        <is>
          <t>5100</t>
        </is>
      </c>
      <c r="H342" t="inlineStr">
        <is>
          <t>Shipping and Freight</t>
        </is>
      </c>
      <c r="I342" t="inlineStr">
        <is>
          <t>Product</t>
        </is>
      </c>
      <c r="J342">
        <f>1411.83</f>
        <v/>
      </c>
    </row>
    <row r="343">
      <c r="B343" t="inlineStr">
        <is>
          <t>02/22/2025</t>
        </is>
      </c>
      <c r="C343" t="inlineStr">
        <is>
          <t>Credit Card Charge</t>
        </is>
      </c>
      <c r="D343" t="inlineStr"/>
      <c r="E343" t="inlineStr">
        <is>
          <t>Fabrikam Freight</t>
        </is>
      </c>
      <c r="F343" t="inlineStr">
        <is>
          <t>Outbound freight 2025-02</t>
        </is>
      </c>
      <c r="G343" t="inlineStr">
        <is>
          <t>2100</t>
        </is>
      </c>
      <c r="H343" t="inlineStr">
        <is>
          <t>Vantage Card 3391</t>
        </is>
      </c>
      <c r="I343" t="inlineStr">
        <is>
          <t>Product</t>
        </is>
      </c>
      <c r="K343">
        <f>1411.83</f>
        <v/>
      </c>
    </row>
    <row r="344">
      <c r="A344" t="inlineStr">
        <is>
          <t>Total for T-00041</t>
        </is>
      </c>
      <c r="J344">
        <f>J342</f>
        <v/>
      </c>
      <c r="K344">
        <f>K343</f>
        <v/>
      </c>
    </row>
    <row r="345"/>
    <row r="346">
      <c r="A346" t="inlineStr">
        <is>
          <t>T-00059</t>
        </is>
      </c>
    </row>
    <row r="347">
      <c r="B347" t="inlineStr">
        <is>
          <t>02/23/2025</t>
        </is>
      </c>
      <c r="C347" t="inlineStr">
        <is>
          <t>Expense</t>
        </is>
      </c>
      <c r="D347" t="inlineStr"/>
      <c r="E347" t="inlineStr">
        <is>
          <t>Quartz CAD Services</t>
        </is>
      </c>
      <c r="F347" t="inlineStr">
        <is>
          <t>Quartz CAD Services invoice 55591</t>
        </is>
      </c>
      <c r="G347" t="inlineStr">
        <is>
          <t>6100</t>
        </is>
      </c>
      <c r="H347" t="inlineStr">
        <is>
          <t>Contract Engineering</t>
        </is>
      </c>
      <c r="I347" t="inlineStr">
        <is>
          <t>Product</t>
        </is>
      </c>
      <c r="J347">
        <f>796.86</f>
        <v/>
      </c>
    </row>
    <row r="348">
      <c r="B348" t="inlineStr">
        <is>
          <t>02/23/2025</t>
        </is>
      </c>
      <c r="C348" t="inlineStr">
        <is>
          <t>Expense</t>
        </is>
      </c>
      <c r="D348" t="inlineStr"/>
      <c r="E348" t="inlineStr">
        <is>
          <t>Quartz CAD Services</t>
        </is>
      </c>
      <c r="F348" t="inlineStr">
        <is>
          <t>Quartz CAD Services invoice 55591</t>
        </is>
      </c>
      <c r="G348" t="inlineStr">
        <is>
          <t>1010</t>
        </is>
      </c>
      <c r="H348" t="inlineStr">
        <is>
          <t>Northgate Checking 7742</t>
        </is>
      </c>
      <c r="I348" t="inlineStr">
        <is>
          <t>Product</t>
        </is>
      </c>
      <c r="K348">
        <f>796.86</f>
        <v/>
      </c>
    </row>
    <row r="349">
      <c r="A349" t="inlineStr">
        <is>
          <t>Total for T-00059</t>
        </is>
      </c>
      <c r="J349">
        <f>J347</f>
        <v/>
      </c>
      <c r="K349">
        <f>K348</f>
        <v/>
      </c>
    </row>
    <row r="350"/>
    <row r="351">
      <c r="A351" t="inlineStr">
        <is>
          <t>T-00072</t>
        </is>
      </c>
    </row>
    <row r="352">
      <c r="B352" t="inlineStr">
        <is>
          <t>02/23/2025</t>
        </is>
      </c>
      <c r="C352" t="inlineStr">
        <is>
          <t>Expense</t>
        </is>
      </c>
      <c r="D352" t="inlineStr"/>
      <c r="E352" t="inlineStr">
        <is>
          <t>Redwood Prototyping</t>
        </is>
      </c>
      <c r="F352" t="inlineStr">
        <is>
          <t>Redwood Prototyping invoice 49188</t>
        </is>
      </c>
      <c r="G352" t="inlineStr">
        <is>
          <t>6100</t>
        </is>
      </c>
      <c r="H352" t="inlineStr">
        <is>
          <t>Contract Engineering</t>
        </is>
      </c>
      <c r="I352" t="inlineStr">
        <is>
          <t>Product</t>
        </is>
      </c>
      <c r="J352">
        <f>1138.69</f>
        <v/>
      </c>
    </row>
    <row r="353">
      <c r="B353" t="inlineStr">
        <is>
          <t>02/23/2025</t>
        </is>
      </c>
      <c r="C353" t="inlineStr">
        <is>
          <t>Expense</t>
        </is>
      </c>
      <c r="D353" t="inlineStr"/>
      <c r="E353" t="inlineStr">
        <is>
          <t>Redwood Prototyping</t>
        </is>
      </c>
      <c r="F353" t="inlineStr">
        <is>
          <t>Redwood Prototyping invoice 49188</t>
        </is>
      </c>
      <c r="G353" t="inlineStr">
        <is>
          <t>1010</t>
        </is>
      </c>
      <c r="H353" t="inlineStr">
        <is>
          <t>Northgate Checking 7742</t>
        </is>
      </c>
      <c r="I353" t="inlineStr">
        <is>
          <t>Product</t>
        </is>
      </c>
      <c r="K353">
        <f>1138.69</f>
        <v/>
      </c>
    </row>
    <row r="354">
      <c r="A354" t="inlineStr">
        <is>
          <t>Total for T-00072</t>
        </is>
      </c>
      <c r="J354">
        <f>J352</f>
        <v/>
      </c>
      <c r="K354">
        <f>K353</f>
        <v/>
      </c>
    </row>
    <row r="355"/>
    <row r="356">
      <c r="A356" t="inlineStr">
        <is>
          <t>T-00058</t>
        </is>
      </c>
    </row>
    <row r="357">
      <c r="B357" t="inlineStr">
        <is>
          <t>02/25/2025</t>
        </is>
      </c>
      <c r="C357" t="inlineStr">
        <is>
          <t>Credit Card Charge</t>
        </is>
      </c>
      <c r="D357" t="inlineStr"/>
      <c r="E357" t="inlineStr">
        <is>
          <t>Skyward Air</t>
        </is>
      </c>
      <c r="F357" t="inlineStr">
        <is>
          <t>Skyward Air 2025-02</t>
        </is>
      </c>
      <c r="G357" t="inlineStr">
        <is>
          <t>6900</t>
        </is>
      </c>
      <c r="H357" t="inlineStr">
        <is>
          <t>Travel and Meals</t>
        </is>
      </c>
      <c r="I357" t="inlineStr">
        <is>
          <t>Overhead</t>
        </is>
      </c>
      <c r="J357">
        <f>921.15</f>
        <v/>
      </c>
    </row>
    <row r="358">
      <c r="B358" t="inlineStr">
        <is>
          <t>02/25/2025</t>
        </is>
      </c>
      <c r="C358" t="inlineStr">
        <is>
          <t>Credit Card Charge</t>
        </is>
      </c>
      <c r="D358" t="inlineStr"/>
      <c r="E358" t="inlineStr">
        <is>
          <t>Skyward Air</t>
        </is>
      </c>
      <c r="F358" t="inlineStr">
        <is>
          <t>Skyward Air 2025-02</t>
        </is>
      </c>
      <c r="G358" t="inlineStr">
        <is>
          <t>2100</t>
        </is>
      </c>
      <c r="H358" t="inlineStr">
        <is>
          <t>Vantage Card 3391</t>
        </is>
      </c>
      <c r="I358" t="inlineStr">
        <is>
          <t>Overhead</t>
        </is>
      </c>
      <c r="K358">
        <f>921.15</f>
        <v/>
      </c>
    </row>
    <row r="359">
      <c r="A359" t="inlineStr">
        <is>
          <t>Total for T-00058</t>
        </is>
      </c>
      <c r="J359">
        <f>J357</f>
        <v/>
      </c>
      <c r="K359">
        <f>K358</f>
        <v/>
      </c>
    </row>
    <row r="360"/>
    <row r="361">
      <c r="A361" t="inlineStr">
        <is>
          <t>T-00056</t>
        </is>
      </c>
    </row>
    <row r="362">
      <c r="B362" t="inlineStr">
        <is>
          <t>02/26/2025</t>
        </is>
      </c>
      <c r="C362" t="inlineStr">
        <is>
          <t>Expense</t>
        </is>
      </c>
      <c r="D362" t="inlineStr"/>
      <c r="E362" t="inlineStr">
        <is>
          <t>Trey Research</t>
        </is>
      </c>
      <c r="F362" t="inlineStr">
        <is>
          <t>Trey Research monthly engagement</t>
        </is>
      </c>
      <c r="G362" t="inlineStr">
        <is>
          <t>6600</t>
        </is>
      </c>
      <c r="H362" t="inlineStr">
        <is>
          <t>Marketing and Advertising</t>
        </is>
      </c>
      <c r="I362" t="inlineStr">
        <is>
          <t>Overhead</t>
        </is>
      </c>
      <c r="J362">
        <f>3515.30</f>
        <v/>
      </c>
    </row>
    <row r="363">
      <c r="B363" t="inlineStr">
        <is>
          <t>02/26/2025</t>
        </is>
      </c>
      <c r="C363" t="inlineStr">
        <is>
          <t>Expense</t>
        </is>
      </c>
      <c r="D363" t="inlineStr"/>
      <c r="E363" t="inlineStr">
        <is>
          <t>Trey Research</t>
        </is>
      </c>
      <c r="F363" t="inlineStr">
        <is>
          <t>Trey Research monthly engagement</t>
        </is>
      </c>
      <c r="G363" t="inlineStr">
        <is>
          <t>1010</t>
        </is>
      </c>
      <c r="H363" t="inlineStr">
        <is>
          <t>Northgate Checking 7742</t>
        </is>
      </c>
      <c r="I363" t="inlineStr">
        <is>
          <t>Overhead</t>
        </is>
      </c>
      <c r="K363">
        <f>3515.30</f>
        <v/>
      </c>
    </row>
    <row r="364">
      <c r="A364" t="inlineStr">
        <is>
          <t>Total for T-00056</t>
        </is>
      </c>
      <c r="J364">
        <f>J362</f>
        <v/>
      </c>
      <c r="K364">
        <f>K363</f>
        <v/>
      </c>
    </row>
    <row r="365"/>
    <row r="366">
      <c r="A366" t="inlineStr">
        <is>
          <t>T-00051</t>
        </is>
      </c>
    </row>
    <row r="367">
      <c r="B367" t="inlineStr">
        <is>
          <t>02/28/2025</t>
        </is>
      </c>
      <c r="C367" t="inlineStr">
        <is>
          <t>Expense</t>
        </is>
      </c>
      <c r="D367" t="inlineStr"/>
      <c r="E367" t="inlineStr">
        <is>
          <t>Proseware Payroll</t>
        </is>
      </c>
      <c r="F367" t="inlineStr">
        <is>
          <t>Payroll 2025-02-28 gross wages</t>
        </is>
      </c>
      <c r="G367" t="inlineStr">
        <is>
          <t>6000</t>
        </is>
      </c>
      <c r="H367" t="inlineStr">
        <is>
          <t>Salaries and Wages</t>
        </is>
      </c>
      <c r="I367" t="inlineStr">
        <is>
          <t>Overhead</t>
        </is>
      </c>
      <c r="J367">
        <f>19450.00</f>
        <v/>
      </c>
    </row>
    <row r="368">
      <c r="B368" t="inlineStr">
        <is>
          <t>02/28/2025</t>
        </is>
      </c>
      <c r="C368" t="inlineStr">
        <is>
          <t>Expense</t>
        </is>
      </c>
      <c r="D368" t="inlineStr"/>
      <c r="E368" t="inlineStr">
        <is>
          <t>Proseware Payroll</t>
        </is>
      </c>
      <c r="F368" t="inlineStr">
        <is>
          <t>Payroll 2025-02-28 employer taxes</t>
        </is>
      </c>
      <c r="G368" t="inlineStr">
        <is>
          <t>6010</t>
        </is>
      </c>
      <c r="H368" t="inlineStr">
        <is>
          <t>Payroll Taxes</t>
        </is>
      </c>
      <c r="I368" t="inlineStr">
        <is>
          <t>Overhead</t>
        </is>
      </c>
      <c r="J368">
        <f>1487.92</f>
        <v/>
      </c>
    </row>
    <row r="369">
      <c r="B369" t="inlineStr">
        <is>
          <t>02/28/2025</t>
        </is>
      </c>
      <c r="C369" t="inlineStr">
        <is>
          <t>Expense</t>
        </is>
      </c>
      <c r="D369" t="inlineStr"/>
      <c r="E369" t="inlineStr">
        <is>
          <t>Proseware Payroll</t>
        </is>
      </c>
      <c r="F369" t="inlineStr">
        <is>
          <t>Proseware payroll debit 2025-02-28</t>
        </is>
      </c>
      <c r="G369" t="inlineStr">
        <is>
          <t>1010</t>
        </is>
      </c>
      <c r="H369" t="inlineStr">
        <is>
          <t>Northgate Checking 7742</t>
        </is>
      </c>
      <c r="I369" t="inlineStr">
        <is>
          <t>Overhead</t>
        </is>
      </c>
      <c r="K369">
        <f>20937.92</f>
        <v/>
      </c>
    </row>
    <row r="370">
      <c r="A370" t="inlineStr">
        <is>
          <t>Total for T-00051</t>
        </is>
      </c>
      <c r="J370">
        <f>J367+J368</f>
        <v/>
      </c>
      <c r="K370">
        <f>K369</f>
        <v/>
      </c>
    </row>
    <row r="371"/>
    <row r="372">
      <c r="A372" t="inlineStr">
        <is>
          <t>T-00053</t>
        </is>
      </c>
    </row>
    <row r="373">
      <c r="B373" t="inlineStr">
        <is>
          <t>02/28/2025</t>
        </is>
      </c>
      <c r="C373" t="inlineStr">
        <is>
          <t>Deposit</t>
        </is>
      </c>
      <c r="D373" t="inlineStr"/>
      <c r="E373" t="inlineStr">
        <is>
          <t>Paylane</t>
        </is>
      </c>
      <c r="F373" t="inlineStr">
        <is>
          <t>Paylane payout 2025-02 #2</t>
        </is>
      </c>
      <c r="G373" t="inlineStr">
        <is>
          <t>1010</t>
        </is>
      </c>
      <c r="H373" t="inlineStr">
        <is>
          <t>Northgate Checking 7742</t>
        </is>
      </c>
      <c r="I373" t="inlineStr">
        <is>
          <t>Product</t>
        </is>
      </c>
      <c r="J373">
        <f>10970.35</f>
        <v/>
      </c>
    </row>
    <row r="374">
      <c r="B374" t="inlineStr">
        <is>
          <t>02/28/2025</t>
        </is>
      </c>
      <c r="C374" t="inlineStr">
        <is>
          <t>Deposit</t>
        </is>
      </c>
      <c r="D374" t="inlineStr"/>
      <c r="E374" t="inlineStr">
        <is>
          <t>Paylane</t>
        </is>
      </c>
      <c r="F374" t="inlineStr">
        <is>
          <t>Paylane payout 2025-02 #2</t>
        </is>
      </c>
      <c r="G374" t="inlineStr">
        <is>
          <t>1200</t>
        </is>
      </c>
      <c r="H374" t="inlineStr">
        <is>
          <t>Paylane Clearing</t>
        </is>
      </c>
      <c r="I374" t="inlineStr">
        <is>
          <t>Product</t>
        </is>
      </c>
      <c r="K374">
        <f>10970.35</f>
        <v/>
      </c>
    </row>
    <row r="375">
      <c r="A375" t="inlineStr">
        <is>
          <t>Total for T-00053</t>
        </is>
      </c>
      <c r="J375">
        <f>J373</f>
        <v/>
      </c>
      <c r="K375">
        <f>K374</f>
        <v/>
      </c>
    </row>
    <row r="376"/>
    <row r="377">
      <c r="A377" t="inlineStr">
        <is>
          <t>T-00054</t>
        </is>
      </c>
    </row>
    <row r="378">
      <c r="B378" t="inlineStr">
        <is>
          <t>02/28/2025</t>
        </is>
      </c>
      <c r="C378" t="inlineStr">
        <is>
          <t>Journal Entry</t>
        </is>
      </c>
      <c r="D378" t="inlineStr">
        <is>
          <t>JE-1005</t>
        </is>
      </c>
      <c r="E378" t="inlineStr">
        <is>
          <t>Paylane</t>
        </is>
      </c>
      <c r="F378" t="inlineStr">
        <is>
          <t>Paylane settlement 2025-02</t>
        </is>
      </c>
      <c r="G378" t="inlineStr">
        <is>
          <t>1200</t>
        </is>
      </c>
      <c r="H378" t="inlineStr">
        <is>
          <t>Paylane Clearing</t>
        </is>
      </c>
      <c r="I378" t="inlineStr">
        <is>
          <t>Product</t>
        </is>
      </c>
      <c r="J378">
        <f>24378.55</f>
        <v/>
      </c>
    </row>
    <row r="379">
      <c r="B379" t="inlineStr">
        <is>
          <t>02/28/2025</t>
        </is>
      </c>
      <c r="C379" t="inlineStr">
        <is>
          <t>Journal Entry</t>
        </is>
      </c>
      <c r="D379" t="inlineStr">
        <is>
          <t>JE-1005</t>
        </is>
      </c>
      <c r="E379" t="inlineStr">
        <is>
          <t>Paylane</t>
        </is>
      </c>
      <c r="F379" t="inlineStr">
        <is>
          <t>Paylane processing fees 2025-02, 43 charges</t>
        </is>
      </c>
      <c r="G379" t="inlineStr">
        <is>
          <t>6950</t>
        </is>
      </c>
      <c r="H379" t="inlineStr">
        <is>
          <t>Bank and Processor Fees</t>
        </is>
      </c>
      <c r="I379" t="inlineStr">
        <is>
          <t>Overhead</t>
        </is>
      </c>
      <c r="J379">
        <f>741.38</f>
        <v/>
      </c>
    </row>
    <row r="380">
      <c r="B380" t="inlineStr">
        <is>
          <t>02/28/2025</t>
        </is>
      </c>
      <c r="C380" t="inlineStr">
        <is>
          <t>Journal Entry</t>
        </is>
      </c>
      <c r="D380" t="inlineStr">
        <is>
          <t>JE-1005</t>
        </is>
      </c>
      <c r="E380" t="inlineStr">
        <is>
          <t>Paylane</t>
        </is>
      </c>
      <c r="F380" t="inlineStr">
        <is>
          <t>Paylane product sales 2025-02</t>
        </is>
      </c>
      <c r="G380" t="inlineStr">
        <is>
          <t>4000</t>
        </is>
      </c>
      <c r="H380" t="inlineStr">
        <is>
          <t>Product Revenue</t>
        </is>
      </c>
      <c r="I380" t="inlineStr">
        <is>
          <t>Product</t>
        </is>
      </c>
      <c r="K380">
        <f>25119.93</f>
        <v/>
      </c>
    </row>
    <row r="381">
      <c r="A381" t="inlineStr">
        <is>
          <t>Total for T-00054</t>
        </is>
      </c>
      <c r="J381">
        <f>J378+J379</f>
        <v/>
      </c>
      <c r="K381">
        <f>K380</f>
        <v/>
      </c>
    </row>
    <row r="382"/>
    <row r="383">
      <c r="A383" t="inlineStr">
        <is>
          <t>T-00075</t>
        </is>
      </c>
    </row>
    <row r="384">
      <c r="B384" t="inlineStr">
        <is>
          <t>02/28/2025</t>
        </is>
      </c>
      <c r="C384" t="inlineStr">
        <is>
          <t>Expense</t>
        </is>
      </c>
      <c r="D384" t="inlineStr"/>
      <c r="E384" t="inlineStr">
        <is>
          <t>Northgate Bank</t>
        </is>
      </c>
      <c r="F384" t="inlineStr">
        <is>
          <t>Account analysis fee 2025-02</t>
        </is>
      </c>
      <c r="G384" t="inlineStr">
        <is>
          <t>6950</t>
        </is>
      </c>
      <c r="H384" t="inlineStr">
        <is>
          <t>Bank and Processor Fees</t>
        </is>
      </c>
      <c r="I384" t="inlineStr">
        <is>
          <t>Overhead</t>
        </is>
      </c>
      <c r="J384">
        <f>45.00</f>
        <v/>
      </c>
    </row>
    <row r="385">
      <c r="B385" t="inlineStr">
        <is>
          <t>02/28/2025</t>
        </is>
      </c>
      <c r="C385" t="inlineStr">
        <is>
          <t>Expense</t>
        </is>
      </c>
      <c r="D385" t="inlineStr"/>
      <c r="E385" t="inlineStr">
        <is>
          <t>Northgate Bank</t>
        </is>
      </c>
      <c r="F385" t="inlineStr">
        <is>
          <t>Account analysis fee 2025-02</t>
        </is>
      </c>
      <c r="G385" t="inlineStr">
        <is>
          <t>1010</t>
        </is>
      </c>
      <c r="H385" t="inlineStr">
        <is>
          <t>Northgate Checking 7742</t>
        </is>
      </c>
      <c r="I385" t="inlineStr">
        <is>
          <t>Overhead</t>
        </is>
      </c>
      <c r="K385">
        <f>45.00</f>
        <v/>
      </c>
    </row>
    <row r="386">
      <c r="A386" t="inlineStr">
        <is>
          <t>Total for T-00075</t>
        </is>
      </c>
      <c r="J386">
        <f>J384</f>
        <v/>
      </c>
      <c r="K386">
        <f>K385</f>
        <v/>
      </c>
    </row>
    <row r="387"/>
    <row r="388">
      <c r="A388" t="inlineStr">
        <is>
          <t>T-00076</t>
        </is>
      </c>
    </row>
    <row r="389">
      <c r="B389" t="inlineStr">
        <is>
          <t>02/28/2025</t>
        </is>
      </c>
      <c r="C389" t="inlineStr">
        <is>
          <t>Deposit</t>
        </is>
      </c>
      <c r="D389" t="inlineStr"/>
      <c r="E389" t="inlineStr">
        <is>
          <t>Northgate Bank</t>
        </is>
      </c>
      <c r="F389" t="inlineStr">
        <is>
          <t>Savings interest 2025-02</t>
        </is>
      </c>
      <c r="G389" t="inlineStr">
        <is>
          <t>1020</t>
        </is>
      </c>
      <c r="H389" t="inlineStr">
        <is>
          <t>Northgate Savings 7809</t>
        </is>
      </c>
      <c r="I389" t="inlineStr">
        <is>
          <t>Overhead</t>
        </is>
      </c>
      <c r="J389">
        <f>4.00</f>
        <v/>
      </c>
    </row>
    <row r="390">
      <c r="B390" t="inlineStr">
        <is>
          <t>02/28/2025</t>
        </is>
      </c>
      <c r="C390" t="inlineStr">
        <is>
          <t>Deposit</t>
        </is>
      </c>
      <c r="D390" t="inlineStr"/>
      <c r="E390" t="inlineStr">
        <is>
          <t>Northgate Bank</t>
        </is>
      </c>
      <c r="F390" t="inlineStr">
        <is>
          <t>Savings interest 2025-02</t>
        </is>
      </c>
      <c r="G390" t="inlineStr">
        <is>
          <t>4900</t>
        </is>
      </c>
      <c r="H390" t="inlineStr">
        <is>
          <t>Interest Income</t>
        </is>
      </c>
      <c r="I390" t="inlineStr">
        <is>
          <t>Overhead</t>
        </is>
      </c>
      <c r="K390">
        <f>4.00</f>
        <v/>
      </c>
    </row>
    <row r="391">
      <c r="A391" t="inlineStr">
        <is>
          <t>Total for T-00076</t>
        </is>
      </c>
      <c r="J391">
        <f>J389</f>
        <v/>
      </c>
      <c r="K391">
        <f>K390</f>
        <v/>
      </c>
    </row>
    <row r="392"/>
    <row r="393">
      <c r="A393" t="inlineStr">
        <is>
          <t>T-00077</t>
        </is>
      </c>
    </row>
    <row r="394">
      <c r="B394" t="inlineStr">
        <is>
          <t>02/28/2025</t>
        </is>
      </c>
      <c r="C394" t="inlineStr">
        <is>
          <t>Journal Entry</t>
        </is>
      </c>
      <c r="D394" t="inlineStr">
        <is>
          <t>JE-1006</t>
        </is>
      </c>
      <c r="E394" t="inlineStr">
        <is>
          <t>Adatum Insurance</t>
        </is>
      </c>
      <c r="F394" t="inlineStr">
        <is>
          <t>Insurance 2025-02</t>
        </is>
      </c>
      <c r="G394" t="inlineStr">
        <is>
          <t>6500</t>
        </is>
      </c>
      <c r="H394" t="inlineStr">
        <is>
          <t>Insurance</t>
        </is>
      </c>
      <c r="I394" t="inlineStr">
        <is>
          <t>Overhead</t>
        </is>
      </c>
      <c r="J394">
        <f>1200.00</f>
        <v/>
      </c>
    </row>
    <row r="395">
      <c r="B395" t="inlineStr">
        <is>
          <t>02/28/2025</t>
        </is>
      </c>
      <c r="C395" t="inlineStr">
        <is>
          <t>Journal Entry</t>
        </is>
      </c>
      <c r="D395" t="inlineStr">
        <is>
          <t>JE-1006</t>
        </is>
      </c>
      <c r="E395" t="inlineStr">
        <is>
          <t>Adatum Insurance</t>
        </is>
      </c>
      <c r="F395" t="inlineStr">
        <is>
          <t>Insurance 2025-02</t>
        </is>
      </c>
      <c r="G395" t="inlineStr">
        <is>
          <t>1300</t>
        </is>
      </c>
      <c r="H395" t="inlineStr">
        <is>
          <t>Prepaid Insurance</t>
        </is>
      </c>
      <c r="I395" t="inlineStr">
        <is>
          <t>Overhead</t>
        </is>
      </c>
      <c r="K395">
        <f>1200.00</f>
        <v/>
      </c>
    </row>
    <row r="396">
      <c r="A396" t="inlineStr">
        <is>
          <t>Total for T-00077</t>
        </is>
      </c>
      <c r="J396">
        <f>J394</f>
        <v/>
      </c>
      <c r="K396">
        <f>K395</f>
        <v/>
      </c>
    </row>
    <row r="397"/>
    <row r="398">
      <c r="A398" t="inlineStr">
        <is>
          <t>T-00078</t>
        </is>
      </c>
    </row>
    <row r="399">
      <c r="B399" t="inlineStr">
        <is>
          <t>02/28/2025</t>
        </is>
      </c>
      <c r="C399" t="inlineStr">
        <is>
          <t>Journal Entry</t>
        </is>
      </c>
      <c r="D399" t="inlineStr">
        <is>
          <t>JE-1007</t>
        </is>
      </c>
      <c r="E399" t="inlineStr">
        <is>
          <t>Orion Design Works</t>
        </is>
      </c>
      <c r="F399" t="inlineStr">
        <is>
          <t>Design license 2025-02</t>
        </is>
      </c>
      <c r="G399" t="inlineStr">
        <is>
          <t>7100</t>
        </is>
      </c>
      <c r="H399" t="inlineStr">
        <is>
          <t>Amortization Expense</t>
        </is>
      </c>
      <c r="I399" t="inlineStr">
        <is>
          <t>Product</t>
        </is>
      </c>
      <c r="J399">
        <f>1000.00</f>
        <v/>
      </c>
    </row>
    <row r="400">
      <c r="B400" t="inlineStr">
        <is>
          <t>02/28/2025</t>
        </is>
      </c>
      <c r="C400" t="inlineStr">
        <is>
          <t>Journal Entry</t>
        </is>
      </c>
      <c r="D400" t="inlineStr">
        <is>
          <t>JE-1007</t>
        </is>
      </c>
      <c r="E400" t="inlineStr">
        <is>
          <t>Orion Design Works</t>
        </is>
      </c>
      <c r="F400" t="inlineStr">
        <is>
          <t>Design license 2025-02</t>
        </is>
      </c>
      <c r="G400" t="inlineStr">
        <is>
          <t>1610</t>
        </is>
      </c>
      <c r="H400" t="inlineStr">
        <is>
          <t>Accumulated Amortization - Design License</t>
        </is>
      </c>
      <c r="I400" t="inlineStr">
        <is>
          <t>Product</t>
        </is>
      </c>
      <c r="K400">
        <f>1000.00</f>
        <v/>
      </c>
    </row>
    <row r="401">
      <c r="A401" t="inlineStr">
        <is>
          <t>Total for T-00078</t>
        </is>
      </c>
      <c r="J401">
        <f>J399</f>
        <v/>
      </c>
      <c r="K401">
        <f>K400</f>
        <v/>
      </c>
    </row>
    <row r="402"/>
    <row r="403">
      <c r="A403" t="inlineStr">
        <is>
          <t>T-00079</t>
        </is>
      </c>
    </row>
    <row r="404">
      <c r="B404" t="inlineStr">
        <is>
          <t>02/28/2025</t>
        </is>
      </c>
      <c r="C404" t="inlineStr">
        <is>
          <t>Journal Entry</t>
        </is>
      </c>
      <c r="D404" t="inlineStr">
        <is>
          <t>JE-1008</t>
        </is>
      </c>
      <c r="E404" t="inlineStr"/>
      <c r="F404" t="inlineStr">
        <is>
          <t>Depreciation 2025-02</t>
        </is>
      </c>
      <c r="G404" t="inlineStr">
        <is>
          <t>7000</t>
        </is>
      </c>
      <c r="H404" t="inlineStr">
        <is>
          <t>Depreciation Expense</t>
        </is>
      </c>
      <c r="I404" t="inlineStr">
        <is>
          <t>Product</t>
        </is>
      </c>
      <c r="J404">
        <f>800.00</f>
        <v/>
      </c>
    </row>
    <row r="405">
      <c r="B405" t="inlineStr">
        <is>
          <t>02/28/2025</t>
        </is>
      </c>
      <c r="C405" t="inlineStr">
        <is>
          <t>Journal Entry</t>
        </is>
      </c>
      <c r="D405" t="inlineStr">
        <is>
          <t>JE-1008</t>
        </is>
      </c>
      <c r="E405" t="inlineStr"/>
      <c r="F405" t="inlineStr">
        <is>
          <t>Depreciation 2025-02</t>
        </is>
      </c>
      <c r="G405" t="inlineStr">
        <is>
          <t>1510</t>
        </is>
      </c>
      <c r="H405" t="inlineStr">
        <is>
          <t>Accumulated Depreciation</t>
        </is>
      </c>
      <c r="I405" t="inlineStr">
        <is>
          <t>Product</t>
        </is>
      </c>
      <c r="K405">
        <f>800.00</f>
        <v/>
      </c>
    </row>
    <row r="406">
      <c r="A406" t="inlineStr">
        <is>
          <t>Total for T-00079</t>
        </is>
      </c>
      <c r="J406">
        <f>J404</f>
        <v/>
      </c>
      <c r="K406">
        <f>K405</f>
        <v/>
      </c>
    </row>
    <row r="407"/>
    <row r="408">
      <c r="A408" t="inlineStr">
        <is>
          <t>T-00081</t>
        </is>
      </c>
    </row>
    <row r="409">
      <c r="B409" t="inlineStr">
        <is>
          <t>03/01/2025</t>
        </is>
      </c>
      <c r="C409" t="inlineStr">
        <is>
          <t>Expense</t>
        </is>
      </c>
      <c r="D409" t="inlineStr"/>
      <c r="E409" t="inlineStr">
        <is>
          <t>Wingtip Workspace</t>
        </is>
      </c>
      <c r="F409" t="inlineStr">
        <is>
          <t>Office rent 2025-03</t>
        </is>
      </c>
      <c r="G409" t="inlineStr">
        <is>
          <t>6400</t>
        </is>
      </c>
      <c r="H409" t="inlineStr">
        <is>
          <t>Rent</t>
        </is>
      </c>
      <c r="I409" t="inlineStr">
        <is>
          <t>Overhead</t>
        </is>
      </c>
      <c r="J409">
        <f>6500.00</f>
        <v/>
      </c>
    </row>
    <row r="410">
      <c r="B410" t="inlineStr">
        <is>
          <t>03/01/2025</t>
        </is>
      </c>
      <c r="C410" t="inlineStr">
        <is>
          <t>Expense</t>
        </is>
      </c>
      <c r="D410" t="inlineStr"/>
      <c r="E410" t="inlineStr">
        <is>
          <t>Wingtip Workspace</t>
        </is>
      </c>
      <c r="F410" t="inlineStr">
        <is>
          <t>Office rent 2025-03</t>
        </is>
      </c>
      <c r="G410" t="inlineStr">
        <is>
          <t>1010</t>
        </is>
      </c>
      <c r="H410" t="inlineStr">
        <is>
          <t>Northgate Checking 7742</t>
        </is>
      </c>
      <c r="I410" t="inlineStr">
        <is>
          <t>Overhead</t>
        </is>
      </c>
      <c r="K410">
        <f>6500.00</f>
        <v/>
      </c>
    </row>
    <row r="411">
      <c r="A411" t="inlineStr">
        <is>
          <t>Total for T-00081</t>
        </is>
      </c>
      <c r="J411">
        <f>J409</f>
        <v/>
      </c>
      <c r="K411">
        <f>K410</f>
        <v/>
      </c>
    </row>
    <row r="412"/>
    <row r="413">
      <c r="A413" t="inlineStr">
        <is>
          <t>T-00080</t>
        </is>
      </c>
    </row>
    <row r="414">
      <c r="B414" t="inlineStr">
        <is>
          <t>03/03/2025</t>
        </is>
      </c>
      <c r="C414" t="inlineStr">
        <is>
          <t>Check</t>
        </is>
      </c>
      <c r="D414" t="inlineStr"/>
      <c r="E414" t="inlineStr">
        <is>
          <t>Tailspin Tools</t>
        </is>
      </c>
      <c r="F414" t="inlineStr">
        <is>
          <t>Annual platform contract 2025-03 to 2026-02</t>
        </is>
      </c>
      <c r="G414" t="inlineStr">
        <is>
          <t>1310</t>
        </is>
      </c>
      <c r="H414" t="inlineStr">
        <is>
          <t>Prepaid Software</t>
        </is>
      </c>
      <c r="I414" t="inlineStr">
        <is>
          <t>Overhead</t>
        </is>
      </c>
      <c r="J414">
        <f>9600.00</f>
        <v/>
      </c>
    </row>
    <row r="415">
      <c r="B415" t="inlineStr">
        <is>
          <t>03/03/2025</t>
        </is>
      </c>
      <c r="C415" t="inlineStr">
        <is>
          <t>Check</t>
        </is>
      </c>
      <c r="D415" t="inlineStr"/>
      <c r="E415" t="inlineStr">
        <is>
          <t>Tailspin Tools</t>
        </is>
      </c>
      <c r="F415" t="inlineStr">
        <is>
          <t>Annual platform contract 2025-03 to 2026-02</t>
        </is>
      </c>
      <c r="G415" t="inlineStr">
        <is>
          <t>1010</t>
        </is>
      </c>
      <c r="H415" t="inlineStr">
        <is>
          <t>Northgate Checking 7742</t>
        </is>
      </c>
      <c r="I415" t="inlineStr">
        <is>
          <t>Overhead</t>
        </is>
      </c>
      <c r="K415">
        <f>9600.00</f>
        <v/>
      </c>
    </row>
    <row r="416">
      <c r="A416" t="inlineStr">
        <is>
          <t>Total for T-00080</t>
        </is>
      </c>
      <c r="J416">
        <f>J414</f>
        <v/>
      </c>
      <c r="K416">
        <f>K415</f>
        <v/>
      </c>
    </row>
    <row r="417"/>
    <row r="418">
      <c r="A418" t="inlineStr">
        <is>
          <t>T-00113</t>
        </is>
      </c>
    </row>
    <row r="419">
      <c r="B419" t="inlineStr">
        <is>
          <t>03/03/2025</t>
        </is>
      </c>
      <c r="C419" t="inlineStr">
        <is>
          <t>Expense</t>
        </is>
      </c>
      <c r="D419" t="inlineStr"/>
      <c r="E419" t="inlineStr">
        <is>
          <t>Northwind Supply</t>
        </is>
      </c>
      <c r="F419" t="inlineStr">
        <is>
          <t>Northwind Supply invoice 82909</t>
        </is>
      </c>
      <c r="G419" t="inlineStr">
        <is>
          <t>5000</t>
        </is>
      </c>
      <c r="H419" t="inlineStr">
        <is>
          <t>Cost of Goods Sold - Components</t>
        </is>
      </c>
      <c r="I419" t="inlineStr">
        <is>
          <t>Product</t>
        </is>
      </c>
      <c r="J419">
        <f>350.87</f>
        <v/>
      </c>
    </row>
    <row r="420">
      <c r="B420" t="inlineStr">
        <is>
          <t>03/03/2025</t>
        </is>
      </c>
      <c r="C420" t="inlineStr">
        <is>
          <t>Expense</t>
        </is>
      </c>
      <c r="D420" t="inlineStr"/>
      <c r="E420" t="inlineStr">
        <is>
          <t>Northwind Supply</t>
        </is>
      </c>
      <c r="F420" t="inlineStr">
        <is>
          <t>Northwind Supply invoice 82909</t>
        </is>
      </c>
      <c r="G420" t="inlineStr">
        <is>
          <t>1010</t>
        </is>
      </c>
      <c r="H420" t="inlineStr">
        <is>
          <t>Northgate Checking 7742</t>
        </is>
      </c>
      <c r="I420" t="inlineStr">
        <is>
          <t>Product</t>
        </is>
      </c>
      <c r="K420">
        <f>350.87</f>
        <v/>
      </c>
    </row>
    <row r="421">
      <c r="A421" t="inlineStr">
        <is>
          <t>Total for T-00113</t>
        </is>
      </c>
      <c r="J421">
        <f>J419</f>
        <v/>
      </c>
      <c r="K421">
        <f>K420</f>
        <v/>
      </c>
    </row>
    <row r="422"/>
    <row r="423">
      <c r="A423" t="inlineStr">
        <is>
          <t>T-00082</t>
        </is>
      </c>
    </row>
    <row r="424">
      <c r="B424" t="inlineStr">
        <is>
          <t>03/04/2025</t>
        </is>
      </c>
      <c r="C424" t="inlineStr">
        <is>
          <t>Credit Card Charge</t>
        </is>
      </c>
      <c r="D424" t="inlineStr"/>
      <c r="E424" t="inlineStr">
        <is>
          <t>Contoso Cloud</t>
        </is>
      </c>
      <c r="F424" t="inlineStr">
        <is>
          <t>Cloud hosting 2025-03</t>
        </is>
      </c>
      <c r="G424" t="inlineStr">
        <is>
          <t>6300</t>
        </is>
      </c>
      <c r="H424" t="inlineStr">
        <is>
          <t>Cloud Hosting</t>
        </is>
      </c>
      <c r="I424" t="inlineStr">
        <is>
          <t>Services</t>
        </is>
      </c>
      <c r="J424">
        <f>2640.00</f>
        <v/>
      </c>
    </row>
    <row r="425">
      <c r="B425" t="inlineStr">
        <is>
          <t>03/04/2025</t>
        </is>
      </c>
      <c r="C425" t="inlineStr">
        <is>
          <t>Credit Card Charge</t>
        </is>
      </c>
      <c r="D425" t="inlineStr"/>
      <c r="E425" t="inlineStr">
        <is>
          <t>Contoso Cloud</t>
        </is>
      </c>
      <c r="F425" t="inlineStr">
        <is>
          <t>Cloud hosting 2025-03</t>
        </is>
      </c>
      <c r="G425" t="inlineStr">
        <is>
          <t>2100</t>
        </is>
      </c>
      <c r="H425" t="inlineStr">
        <is>
          <t>Vantage Card 3391</t>
        </is>
      </c>
      <c r="I425" t="inlineStr">
        <is>
          <t>Services</t>
        </is>
      </c>
      <c r="K425">
        <f>2640.00</f>
        <v/>
      </c>
    </row>
    <row r="426">
      <c r="A426" t="inlineStr">
        <is>
          <t>Total for T-00082</t>
        </is>
      </c>
      <c r="J426">
        <f>J424</f>
        <v/>
      </c>
      <c r="K426">
        <f>K425</f>
        <v/>
      </c>
    </row>
    <row r="427"/>
    <row r="428">
      <c r="A428" t="inlineStr">
        <is>
          <t>T-00084</t>
        </is>
      </c>
    </row>
    <row r="429">
      <c r="B429" t="inlineStr">
        <is>
          <t>03/05/2025</t>
        </is>
      </c>
      <c r="C429" t="inlineStr">
        <is>
          <t>Expense</t>
        </is>
      </c>
      <c r="D429" t="inlineStr"/>
      <c r="E429" t="inlineStr">
        <is>
          <t>Vantage Card</t>
        </is>
      </c>
      <c r="F429" t="inlineStr">
        <is>
          <t>Vantage card payment</t>
        </is>
      </c>
      <c r="G429" t="inlineStr">
        <is>
          <t>2100</t>
        </is>
      </c>
      <c r="H429" t="inlineStr">
        <is>
          <t>Vantage Card 3391</t>
        </is>
      </c>
      <c r="I429" t="inlineStr">
        <is>
          <t>Overhead</t>
        </is>
      </c>
      <c r="J429">
        <f>8248.71</f>
        <v/>
      </c>
    </row>
    <row r="430">
      <c r="B430" t="inlineStr">
        <is>
          <t>03/05/2025</t>
        </is>
      </c>
      <c r="C430" t="inlineStr">
        <is>
          <t>Expense</t>
        </is>
      </c>
      <c r="D430" t="inlineStr"/>
      <c r="E430" t="inlineStr">
        <is>
          <t>Vantage Card</t>
        </is>
      </c>
      <c r="F430" t="inlineStr">
        <is>
          <t>Vantage card payment</t>
        </is>
      </c>
      <c r="G430" t="inlineStr">
        <is>
          <t>1010</t>
        </is>
      </c>
      <c r="H430" t="inlineStr">
        <is>
          <t>Northgate Checking 7742</t>
        </is>
      </c>
      <c r="I430" t="inlineStr">
        <is>
          <t>Overhead</t>
        </is>
      </c>
      <c r="K430">
        <f>8248.71</f>
        <v/>
      </c>
    </row>
    <row r="431">
      <c r="A431" t="inlineStr">
        <is>
          <t>Total for T-00084</t>
        </is>
      </c>
      <c r="J431">
        <f>J429</f>
        <v/>
      </c>
      <c r="K431">
        <f>K430</f>
        <v/>
      </c>
    </row>
    <row r="432"/>
    <row r="433">
      <c r="A433" t="inlineStr">
        <is>
          <t>T-00085</t>
        </is>
      </c>
    </row>
    <row r="434">
      <c r="B434" t="inlineStr">
        <is>
          <t>03/05/2025</t>
        </is>
      </c>
      <c r="C434" t="inlineStr">
        <is>
          <t>Transfer</t>
        </is>
      </c>
      <c r="D434" t="inlineStr"/>
      <c r="E434" t="inlineStr"/>
      <c r="F434" t="inlineStr">
        <is>
          <t>Transfer to savings</t>
        </is>
      </c>
      <c r="G434" t="inlineStr">
        <is>
          <t>1020</t>
        </is>
      </c>
      <c r="H434" t="inlineStr">
        <is>
          <t>Northgate Savings 7809</t>
        </is>
      </c>
      <c r="I434" t="inlineStr">
        <is>
          <t>Overhead</t>
        </is>
      </c>
      <c r="J434">
        <f>5000.00</f>
        <v/>
      </c>
    </row>
    <row r="435">
      <c r="B435" t="inlineStr">
        <is>
          <t>03/05/2025</t>
        </is>
      </c>
      <c r="C435" t="inlineStr">
        <is>
          <t>Transfer</t>
        </is>
      </c>
      <c r="D435" t="inlineStr"/>
      <c r="E435" t="inlineStr"/>
      <c r="F435" t="inlineStr">
        <is>
          <t>Transfer to savings</t>
        </is>
      </c>
      <c r="G435" t="inlineStr">
        <is>
          <t>1010</t>
        </is>
      </c>
      <c r="H435" t="inlineStr">
        <is>
          <t>Northgate Checking 7742</t>
        </is>
      </c>
      <c r="I435" t="inlineStr">
        <is>
          <t>Overhead</t>
        </is>
      </c>
      <c r="K435">
        <f>5000.00</f>
        <v/>
      </c>
    </row>
    <row r="436">
      <c r="A436" t="inlineStr">
        <is>
          <t>Total for T-00085</t>
        </is>
      </c>
      <c r="J436">
        <f>J434</f>
        <v/>
      </c>
      <c r="K436">
        <f>K435</f>
        <v/>
      </c>
    </row>
    <row r="437"/>
    <row r="438">
      <c r="A438" t="inlineStr">
        <is>
          <t>T-00104</t>
        </is>
      </c>
    </row>
    <row r="439">
      <c r="B439" t="inlineStr">
        <is>
          <t>03/07/2025</t>
        </is>
      </c>
      <c r="C439" t="inlineStr">
        <is>
          <t>Expense</t>
        </is>
      </c>
      <c r="D439" t="inlineStr"/>
      <c r="E439" t="inlineStr">
        <is>
          <t>Redwood Prototyping</t>
        </is>
      </c>
      <c r="F439" t="inlineStr">
        <is>
          <t>Redwood Prototyping invoice 11386</t>
        </is>
      </c>
      <c r="G439" t="inlineStr">
        <is>
          <t>6100</t>
        </is>
      </c>
      <c r="H439" t="inlineStr">
        <is>
          <t>Contract Engineering</t>
        </is>
      </c>
      <c r="I439" t="inlineStr">
        <is>
          <t>Product</t>
        </is>
      </c>
      <c r="J439">
        <f>346.09</f>
        <v/>
      </c>
    </row>
    <row r="440">
      <c r="B440" t="inlineStr">
        <is>
          <t>03/07/2025</t>
        </is>
      </c>
      <c r="C440" t="inlineStr">
        <is>
          <t>Expense</t>
        </is>
      </c>
      <c r="D440" t="inlineStr"/>
      <c r="E440" t="inlineStr">
        <is>
          <t>Redwood Prototyping</t>
        </is>
      </c>
      <c r="F440" t="inlineStr">
        <is>
          <t>Redwood Prototyping invoice 11386</t>
        </is>
      </c>
      <c r="G440" t="inlineStr">
        <is>
          <t>1010</t>
        </is>
      </c>
      <c r="H440" t="inlineStr">
        <is>
          <t>Northgate Checking 7742</t>
        </is>
      </c>
      <c r="I440" t="inlineStr">
        <is>
          <t>Product</t>
        </is>
      </c>
      <c r="K440">
        <f>346.09</f>
        <v/>
      </c>
    </row>
    <row r="441">
      <c r="A441" t="inlineStr">
        <is>
          <t>Total for T-00104</t>
        </is>
      </c>
      <c r="J441">
        <f>J439</f>
        <v/>
      </c>
      <c r="K441">
        <f>K440</f>
        <v/>
      </c>
    </row>
    <row r="442"/>
    <row r="443">
      <c r="A443" t="inlineStr">
        <is>
          <t>T-00099</t>
        </is>
      </c>
    </row>
    <row r="444">
      <c r="B444" t="inlineStr">
        <is>
          <t>03/09/2025</t>
        </is>
      </c>
      <c r="C444" t="inlineStr">
        <is>
          <t>Expense</t>
        </is>
      </c>
      <c r="D444" t="inlineStr"/>
      <c r="E444" t="inlineStr">
        <is>
          <t>Fabrikam Freight</t>
        </is>
      </c>
      <c r="F444" t="inlineStr">
        <is>
          <t>Fabrikam Freight invoice 34825</t>
        </is>
      </c>
      <c r="G444" t="inlineStr">
        <is>
          <t>5100</t>
        </is>
      </c>
      <c r="H444" t="inlineStr">
        <is>
          <t>Shipping and Freight</t>
        </is>
      </c>
      <c r="I444" t="inlineStr">
        <is>
          <t>Product</t>
        </is>
      </c>
      <c r="J444">
        <f>765.74</f>
        <v/>
      </c>
    </row>
    <row r="445">
      <c r="B445" t="inlineStr">
        <is>
          <t>03/09/2025</t>
        </is>
      </c>
      <c r="C445" t="inlineStr">
        <is>
          <t>Expense</t>
        </is>
      </c>
      <c r="D445" t="inlineStr"/>
      <c r="E445" t="inlineStr">
        <is>
          <t>Fabrikam Freight</t>
        </is>
      </c>
      <c r="F445" t="inlineStr">
        <is>
          <t>Fabrikam Freight invoice 34825</t>
        </is>
      </c>
      <c r="G445" t="inlineStr">
        <is>
          <t>1010</t>
        </is>
      </c>
      <c r="H445" t="inlineStr">
        <is>
          <t>Northgate Checking 7742</t>
        </is>
      </c>
      <c r="I445" t="inlineStr">
        <is>
          <t>Product</t>
        </is>
      </c>
      <c r="K445">
        <f>765.74</f>
        <v/>
      </c>
    </row>
    <row r="446">
      <c r="A446" t="inlineStr">
        <is>
          <t>Total for T-00099</t>
        </is>
      </c>
      <c r="J446">
        <f>J444</f>
        <v/>
      </c>
      <c r="K446">
        <f>K445</f>
        <v/>
      </c>
    </row>
    <row r="447"/>
    <row r="448">
      <c r="A448" t="inlineStr">
        <is>
          <t>T-00086</t>
        </is>
      </c>
    </row>
    <row r="449">
      <c r="B449" t="inlineStr">
        <is>
          <t>03/10/2025</t>
        </is>
      </c>
      <c r="C449" t="inlineStr">
        <is>
          <t>Invoice</t>
        </is>
      </c>
      <c r="D449" t="inlineStr">
        <is>
          <t>INV-1004</t>
        </is>
      </c>
      <c r="E449" t="inlineStr">
        <is>
          <t>Meridian Automation Co</t>
        </is>
      </c>
      <c r="F449" t="inlineStr">
        <is>
          <t>INV-1004 robot cell</t>
        </is>
      </c>
      <c r="G449" t="inlineStr">
        <is>
          <t>1100</t>
        </is>
      </c>
      <c r="H449" t="inlineStr">
        <is>
          <t>Accounts Receivable</t>
        </is>
      </c>
      <c r="I449" t="inlineStr">
        <is>
          <t>Product</t>
        </is>
      </c>
      <c r="J449">
        <f>34853.19</f>
        <v/>
      </c>
    </row>
    <row r="450">
      <c r="B450" t="inlineStr">
        <is>
          <t>03/10/2025</t>
        </is>
      </c>
      <c r="C450" t="inlineStr">
        <is>
          <t>Invoice</t>
        </is>
      </c>
      <c r="D450" t="inlineStr">
        <is>
          <t>INV-1004</t>
        </is>
      </c>
      <c r="E450" t="inlineStr">
        <is>
          <t>Meridian Automation Co</t>
        </is>
      </c>
      <c r="F450" t="inlineStr">
        <is>
          <t>INV-1004 robot cell</t>
        </is>
      </c>
      <c r="G450" t="inlineStr">
        <is>
          <t>4000</t>
        </is>
      </c>
      <c r="H450" t="inlineStr">
        <is>
          <t>Product Revenue</t>
        </is>
      </c>
      <c r="I450" t="inlineStr">
        <is>
          <t>Product</t>
        </is>
      </c>
      <c r="K450">
        <f>34853.19</f>
        <v/>
      </c>
    </row>
    <row r="451">
      <c r="A451" t="inlineStr">
        <is>
          <t>Total for T-00086</t>
        </is>
      </c>
      <c r="J451">
        <f>J449</f>
        <v/>
      </c>
      <c r="K451">
        <f>K450</f>
        <v/>
      </c>
    </row>
    <row r="452"/>
    <row r="453">
      <c r="A453" t="inlineStr">
        <is>
          <t>T-00087</t>
        </is>
      </c>
    </row>
    <row r="454">
      <c r="B454" t="inlineStr">
        <is>
          <t>03/10/2025</t>
        </is>
      </c>
      <c r="C454" t="inlineStr">
        <is>
          <t>Invoice</t>
        </is>
      </c>
      <c r="D454" t="inlineStr">
        <is>
          <t>INV-1005</t>
        </is>
      </c>
      <c r="E454" t="inlineStr">
        <is>
          <t>Meridian Automation Co</t>
        </is>
      </c>
      <c r="F454" t="inlineStr">
        <is>
          <t>INV-1005 support plan</t>
        </is>
      </c>
      <c r="G454" t="inlineStr">
        <is>
          <t>1100</t>
        </is>
      </c>
      <c r="H454" t="inlineStr">
        <is>
          <t>Accounts Receivable</t>
        </is>
      </c>
      <c r="I454" t="inlineStr">
        <is>
          <t>Services</t>
        </is>
      </c>
      <c r="J454">
        <f>7000.00</f>
        <v/>
      </c>
    </row>
    <row r="455">
      <c r="B455" t="inlineStr">
        <is>
          <t>03/10/2025</t>
        </is>
      </c>
      <c r="C455" t="inlineStr">
        <is>
          <t>Invoice</t>
        </is>
      </c>
      <c r="D455" t="inlineStr">
        <is>
          <t>INV-1005</t>
        </is>
      </c>
      <c r="E455" t="inlineStr">
        <is>
          <t>Meridian Automation Co</t>
        </is>
      </c>
      <c r="F455" t="inlineStr">
        <is>
          <t>INV-1005 support plan</t>
        </is>
      </c>
      <c r="G455" t="inlineStr">
        <is>
          <t>4100</t>
        </is>
      </c>
      <c r="H455" t="inlineStr">
        <is>
          <t>Service Revenue</t>
        </is>
      </c>
      <c r="I455" t="inlineStr">
        <is>
          <t>Services</t>
        </is>
      </c>
      <c r="K455">
        <f>7000.00</f>
        <v/>
      </c>
    </row>
    <row r="456">
      <c r="A456" t="inlineStr">
        <is>
          <t>Total for T-00087</t>
        </is>
      </c>
      <c r="J456">
        <f>J454</f>
        <v/>
      </c>
      <c r="K456">
        <f>K455</f>
        <v/>
      </c>
    </row>
    <row r="457"/>
    <row r="458">
      <c r="A458" t="inlineStr">
        <is>
          <t>T-00088</t>
        </is>
      </c>
    </row>
    <row r="459">
      <c r="B459" t="inlineStr">
        <is>
          <t>03/10/2025</t>
        </is>
      </c>
      <c r="C459" t="inlineStr">
        <is>
          <t>Payment</t>
        </is>
      </c>
      <c r="D459" t="inlineStr"/>
      <c r="E459" t="inlineStr">
        <is>
          <t>Helios Manufacturing LLC</t>
        </is>
      </c>
      <c r="F459" t="inlineStr">
        <is>
          <t>Payment on INV-1002</t>
        </is>
      </c>
      <c r="G459" t="inlineStr">
        <is>
          <t>1010</t>
        </is>
      </c>
      <c r="H459" t="inlineStr">
        <is>
          <t>Northgate Checking 7742</t>
        </is>
      </c>
      <c r="I459" t="inlineStr">
        <is>
          <t>Overhead</t>
        </is>
      </c>
      <c r="J459">
        <f>30738.17</f>
        <v/>
      </c>
    </row>
    <row r="460">
      <c r="B460" t="inlineStr">
        <is>
          <t>03/10/2025</t>
        </is>
      </c>
      <c r="C460" t="inlineStr">
        <is>
          <t>Payment</t>
        </is>
      </c>
      <c r="D460" t="inlineStr"/>
      <c r="E460" t="inlineStr">
        <is>
          <t>Helios Manufacturing LLC</t>
        </is>
      </c>
      <c r="F460" t="inlineStr">
        <is>
          <t>Payment on INV-1002</t>
        </is>
      </c>
      <c r="G460" t="inlineStr">
        <is>
          <t>1100</t>
        </is>
      </c>
      <c r="H460" t="inlineStr">
        <is>
          <t>Accounts Receivable</t>
        </is>
      </c>
      <c r="I460" t="inlineStr">
        <is>
          <t>Overhead</t>
        </is>
      </c>
      <c r="K460">
        <f>30738.17</f>
        <v/>
      </c>
    </row>
    <row r="461">
      <c r="A461" t="inlineStr">
        <is>
          <t>Total for T-00088</t>
        </is>
      </c>
      <c r="J461">
        <f>J459</f>
        <v/>
      </c>
      <c r="K461">
        <f>K460</f>
        <v/>
      </c>
    </row>
    <row r="462"/>
    <row r="463">
      <c r="A463" t="inlineStr">
        <is>
          <t>T-00089</t>
        </is>
      </c>
    </row>
    <row r="464">
      <c r="B464" t="inlineStr">
        <is>
          <t>03/10/2025</t>
        </is>
      </c>
      <c r="C464" t="inlineStr">
        <is>
          <t>Payment</t>
        </is>
      </c>
      <c r="D464" t="inlineStr"/>
      <c r="E464" t="inlineStr">
        <is>
          <t>Helios Manufacturing LLC</t>
        </is>
      </c>
      <c r="F464" t="inlineStr">
        <is>
          <t>Payment on INV-1003</t>
        </is>
      </c>
      <c r="G464" t="inlineStr">
        <is>
          <t>1010</t>
        </is>
      </c>
      <c r="H464" t="inlineStr">
        <is>
          <t>Northgate Checking 7742</t>
        </is>
      </c>
      <c r="I464" t="inlineStr">
        <is>
          <t>Overhead</t>
        </is>
      </c>
      <c r="J464">
        <f>6750.00</f>
        <v/>
      </c>
    </row>
    <row r="465">
      <c r="B465" t="inlineStr">
        <is>
          <t>03/10/2025</t>
        </is>
      </c>
      <c r="C465" t="inlineStr">
        <is>
          <t>Payment</t>
        </is>
      </c>
      <c r="D465" t="inlineStr"/>
      <c r="E465" t="inlineStr">
        <is>
          <t>Helios Manufacturing LLC</t>
        </is>
      </c>
      <c r="F465" t="inlineStr">
        <is>
          <t>Payment on INV-1003</t>
        </is>
      </c>
      <c r="G465" t="inlineStr">
        <is>
          <t>1100</t>
        </is>
      </c>
      <c r="H465" t="inlineStr">
        <is>
          <t>Accounts Receivable</t>
        </is>
      </c>
      <c r="I465" t="inlineStr">
        <is>
          <t>Overhead</t>
        </is>
      </c>
      <c r="K465">
        <f>6750.00</f>
        <v/>
      </c>
    </row>
    <row r="466">
      <c r="A466" t="inlineStr">
        <is>
          <t>Total for T-00089</t>
        </is>
      </c>
      <c r="J466">
        <f>J464</f>
        <v/>
      </c>
      <c r="K466">
        <f>K465</f>
        <v/>
      </c>
    </row>
    <row r="467"/>
    <row r="468">
      <c r="A468" t="inlineStr">
        <is>
          <t>T-00090</t>
        </is>
      </c>
    </row>
    <row r="469">
      <c r="B469" t="inlineStr">
        <is>
          <t>03/12/2025</t>
        </is>
      </c>
      <c r="C469" t="inlineStr">
        <is>
          <t>Bill Payment</t>
        </is>
      </c>
      <c r="D469" t="inlineStr"/>
      <c r="E469" t="inlineStr">
        <is>
          <t>Northwind Supply</t>
        </is>
      </c>
      <c r="F469" t="inlineStr">
        <is>
          <t>Payment on NWS-4401</t>
        </is>
      </c>
      <c r="G469" t="inlineStr">
        <is>
          <t>2010</t>
        </is>
      </c>
      <c r="H469" t="inlineStr">
        <is>
          <t>Accounts Payable</t>
        </is>
      </c>
      <c r="I469" t="inlineStr">
        <is>
          <t>Product</t>
        </is>
      </c>
      <c r="J469">
        <f>10151.29</f>
        <v/>
      </c>
    </row>
    <row r="470">
      <c r="B470" t="inlineStr">
        <is>
          <t>03/12/2025</t>
        </is>
      </c>
      <c r="C470" t="inlineStr">
        <is>
          <t>Bill Payment</t>
        </is>
      </c>
      <c r="D470" t="inlineStr"/>
      <c r="E470" t="inlineStr">
        <is>
          <t>Northwind Supply</t>
        </is>
      </c>
      <c r="F470" t="inlineStr">
        <is>
          <t>Payment on NWS-4401</t>
        </is>
      </c>
      <c r="G470" t="inlineStr">
        <is>
          <t>1010</t>
        </is>
      </c>
      <c r="H470" t="inlineStr">
        <is>
          <t>Northgate Checking 7742</t>
        </is>
      </c>
      <c r="I470" t="inlineStr">
        <is>
          <t>Product</t>
        </is>
      </c>
      <c r="K470">
        <f>10151.29</f>
        <v/>
      </c>
    </row>
    <row r="471">
      <c r="A471" t="inlineStr">
        <is>
          <t>Total for T-00090</t>
        </is>
      </c>
      <c r="J471">
        <f>J469</f>
        <v/>
      </c>
      <c r="K471">
        <f>K470</f>
        <v/>
      </c>
    </row>
    <row r="472"/>
    <row r="473">
      <c r="A473" t="inlineStr">
        <is>
          <t>T-00101</t>
        </is>
      </c>
    </row>
    <row r="474">
      <c r="B474" t="inlineStr">
        <is>
          <t>03/12/2025</t>
        </is>
      </c>
      <c r="C474" t="inlineStr">
        <is>
          <t>Expense</t>
        </is>
      </c>
      <c r="D474" t="inlineStr"/>
      <c r="E474" t="inlineStr">
        <is>
          <t>Fabrikam Freight</t>
        </is>
      </c>
      <c r="F474" t="inlineStr">
        <is>
          <t>Fabrikam Freight invoice 72113</t>
        </is>
      </c>
      <c r="G474" t="inlineStr">
        <is>
          <t>5100</t>
        </is>
      </c>
      <c r="H474" t="inlineStr">
        <is>
          <t>Shipping and Freight</t>
        </is>
      </c>
      <c r="I474" t="inlineStr">
        <is>
          <t>Product</t>
        </is>
      </c>
      <c r="J474">
        <f>454.24</f>
        <v/>
      </c>
    </row>
    <row r="475">
      <c r="B475" t="inlineStr">
        <is>
          <t>03/12/2025</t>
        </is>
      </c>
      <c r="C475" t="inlineStr">
        <is>
          <t>Expense</t>
        </is>
      </c>
      <c r="D475" t="inlineStr"/>
      <c r="E475" t="inlineStr">
        <is>
          <t>Fabrikam Freight</t>
        </is>
      </c>
      <c r="F475" t="inlineStr">
        <is>
          <t>Fabrikam Freight invoice 72113</t>
        </is>
      </c>
      <c r="G475" t="inlineStr">
        <is>
          <t>1010</t>
        </is>
      </c>
      <c r="H475" t="inlineStr">
        <is>
          <t>Northgate Checking 7742</t>
        </is>
      </c>
      <c r="I475" t="inlineStr">
        <is>
          <t>Product</t>
        </is>
      </c>
      <c r="K475">
        <f>454.24</f>
        <v/>
      </c>
    </row>
    <row r="476">
      <c r="A476" t="inlineStr">
        <is>
          <t>Total for T-00101</t>
        </is>
      </c>
      <c r="J476">
        <f>J474</f>
        <v/>
      </c>
      <c r="K476">
        <f>K475</f>
        <v/>
      </c>
    </row>
    <row r="477"/>
    <row r="478">
      <c r="A478" t="inlineStr">
        <is>
          <t>T-00100</t>
        </is>
      </c>
    </row>
    <row r="479">
      <c r="B479" t="inlineStr">
        <is>
          <t>03/13/2025</t>
        </is>
      </c>
      <c r="C479" t="inlineStr">
        <is>
          <t>Credit Card Charge</t>
        </is>
      </c>
      <c r="D479" t="inlineStr"/>
      <c r="E479" t="inlineStr">
        <is>
          <t>Lumina Ads</t>
        </is>
      </c>
      <c r="F479" t="inlineStr">
        <is>
          <t>Lumina Ads 2025-03</t>
        </is>
      </c>
      <c r="G479" t="inlineStr">
        <is>
          <t>6600</t>
        </is>
      </c>
      <c r="H479" t="inlineStr">
        <is>
          <t>Marketing and Advertising</t>
        </is>
      </c>
      <c r="I479" t="inlineStr">
        <is>
          <t>Overhead</t>
        </is>
      </c>
      <c r="J479">
        <f>1941.58</f>
        <v/>
      </c>
    </row>
    <row r="480">
      <c r="B480" t="inlineStr">
        <is>
          <t>03/13/2025</t>
        </is>
      </c>
      <c r="C480" t="inlineStr">
        <is>
          <t>Credit Card Charge</t>
        </is>
      </c>
      <c r="D480" t="inlineStr"/>
      <c r="E480" t="inlineStr">
        <is>
          <t>Lumina Ads</t>
        </is>
      </c>
      <c r="F480" t="inlineStr">
        <is>
          <t>Lumina Ads 2025-03</t>
        </is>
      </c>
      <c r="G480" t="inlineStr">
        <is>
          <t>2100</t>
        </is>
      </c>
      <c r="H480" t="inlineStr">
        <is>
          <t>Vantage Card 3391</t>
        </is>
      </c>
      <c r="I480" t="inlineStr">
        <is>
          <t>Overhead</t>
        </is>
      </c>
      <c r="K480">
        <f>1941.58</f>
        <v/>
      </c>
    </row>
    <row r="481">
      <c r="A481" t="inlineStr">
        <is>
          <t>Total for T-00100</t>
        </is>
      </c>
      <c r="J481">
        <f>J479</f>
        <v/>
      </c>
      <c r="K481">
        <f>K480</f>
        <v/>
      </c>
    </row>
    <row r="482"/>
    <row r="483">
      <c r="A483" t="inlineStr">
        <is>
          <t>T-00098</t>
        </is>
      </c>
    </row>
    <row r="484">
      <c r="B484" t="inlineStr">
        <is>
          <t>03/14/2025</t>
        </is>
      </c>
      <c r="C484" t="inlineStr">
        <is>
          <t>Credit Card Charge</t>
        </is>
      </c>
      <c r="D484" t="inlineStr"/>
      <c r="E484" t="inlineStr">
        <is>
          <t>Lumina Ads</t>
        </is>
      </c>
      <c r="F484" t="inlineStr">
        <is>
          <t>Lumina Ads 2025-03</t>
        </is>
      </c>
      <c r="G484" t="inlineStr">
        <is>
          <t>6600</t>
        </is>
      </c>
      <c r="H484" t="inlineStr">
        <is>
          <t>Marketing and Advertising</t>
        </is>
      </c>
      <c r="I484" t="inlineStr">
        <is>
          <t>Overhead</t>
        </is>
      </c>
      <c r="J484">
        <f>1151.83</f>
        <v/>
      </c>
    </row>
    <row r="485">
      <c r="B485" t="inlineStr">
        <is>
          <t>03/14/2025</t>
        </is>
      </c>
      <c r="C485" t="inlineStr">
        <is>
          <t>Credit Card Charge</t>
        </is>
      </c>
      <c r="D485" t="inlineStr"/>
      <c r="E485" t="inlineStr">
        <is>
          <t>Lumina Ads</t>
        </is>
      </c>
      <c r="F485" t="inlineStr">
        <is>
          <t>Lumina Ads 2025-03</t>
        </is>
      </c>
      <c r="G485" t="inlineStr">
        <is>
          <t>2100</t>
        </is>
      </c>
      <c r="H485" t="inlineStr">
        <is>
          <t>Vantage Card 3391</t>
        </is>
      </c>
      <c r="I485" t="inlineStr">
        <is>
          <t>Overhead</t>
        </is>
      </c>
      <c r="K485">
        <f>1151.83</f>
        <v/>
      </c>
    </row>
    <row r="486">
      <c r="A486" t="inlineStr">
        <is>
          <t>Total for T-00098</t>
        </is>
      </c>
      <c r="J486">
        <f>J484</f>
        <v/>
      </c>
      <c r="K486">
        <f>K485</f>
        <v/>
      </c>
    </row>
    <row r="487"/>
    <row r="488">
      <c r="A488" t="inlineStr">
        <is>
          <t>T-00102</t>
        </is>
      </c>
    </row>
    <row r="489">
      <c r="B489" t="inlineStr">
        <is>
          <t>03/14/2025</t>
        </is>
      </c>
      <c r="C489" t="inlineStr">
        <is>
          <t>Expense</t>
        </is>
      </c>
      <c r="D489" t="inlineStr"/>
      <c r="E489" t="inlineStr">
        <is>
          <t>Bluepeak Engineering</t>
        </is>
      </c>
      <c r="F489" t="inlineStr">
        <is>
          <t>Bluepeak Engineering invoice 90791</t>
        </is>
      </c>
      <c r="G489" t="inlineStr">
        <is>
          <t>6100</t>
        </is>
      </c>
      <c r="H489" t="inlineStr">
        <is>
          <t>Contract Engineering</t>
        </is>
      </c>
      <c r="I489" t="inlineStr">
        <is>
          <t>Product</t>
        </is>
      </c>
      <c r="J489">
        <f>1284.51</f>
        <v/>
      </c>
    </row>
    <row r="490">
      <c r="B490" t="inlineStr">
        <is>
          <t>03/14/2025</t>
        </is>
      </c>
      <c r="C490" t="inlineStr">
        <is>
          <t>Expense</t>
        </is>
      </c>
      <c r="D490" t="inlineStr"/>
      <c r="E490" t="inlineStr">
        <is>
          <t>Bluepeak Engineering</t>
        </is>
      </c>
      <c r="F490" t="inlineStr">
        <is>
          <t>Bluepeak Engineering invoice 90791</t>
        </is>
      </c>
      <c r="G490" t="inlineStr">
        <is>
          <t>1010</t>
        </is>
      </c>
      <c r="H490" t="inlineStr">
        <is>
          <t>Northgate Checking 7742</t>
        </is>
      </c>
      <c r="I490" t="inlineStr">
        <is>
          <t>Product</t>
        </is>
      </c>
      <c r="K490">
        <f>1284.51</f>
        <v/>
      </c>
    </row>
    <row r="491">
      <c r="A491" t="inlineStr">
        <is>
          <t>Total for T-00102</t>
        </is>
      </c>
      <c r="J491">
        <f>J489</f>
        <v/>
      </c>
      <c r="K491">
        <f>K490</f>
        <v/>
      </c>
    </row>
    <row r="492"/>
    <row r="493">
      <c r="A493" t="inlineStr">
        <is>
          <t>T-00115</t>
        </is>
      </c>
    </row>
    <row r="494">
      <c r="B494" t="inlineStr">
        <is>
          <t>03/14/2025</t>
        </is>
      </c>
      <c r="C494" t="inlineStr">
        <is>
          <t>Expense</t>
        </is>
      </c>
      <c r="D494" t="inlineStr"/>
      <c r="E494" t="inlineStr">
        <is>
          <t>Bluepeak Engineering</t>
        </is>
      </c>
      <c r="F494" t="inlineStr">
        <is>
          <t>Bluepeak Engineering invoice 70440</t>
        </is>
      </c>
      <c r="G494" t="inlineStr">
        <is>
          <t>6100</t>
        </is>
      </c>
      <c r="H494" t="inlineStr">
        <is>
          <t>Contract Engineering</t>
        </is>
      </c>
      <c r="I494" t="inlineStr">
        <is>
          <t>Product</t>
        </is>
      </c>
      <c r="J494">
        <f>1540.18</f>
        <v/>
      </c>
    </row>
    <row r="495">
      <c r="B495" t="inlineStr">
        <is>
          <t>03/14/2025</t>
        </is>
      </c>
      <c r="C495" t="inlineStr">
        <is>
          <t>Expense</t>
        </is>
      </c>
      <c r="D495" t="inlineStr"/>
      <c r="E495" t="inlineStr">
        <is>
          <t>Bluepeak Engineering</t>
        </is>
      </c>
      <c r="F495" t="inlineStr">
        <is>
          <t>Bluepeak Engineering invoice 70440</t>
        </is>
      </c>
      <c r="G495" t="inlineStr">
        <is>
          <t>1010</t>
        </is>
      </c>
      <c r="H495" t="inlineStr">
        <is>
          <t>Northgate Checking 7742</t>
        </is>
      </c>
      <c r="I495" t="inlineStr">
        <is>
          <t>Product</t>
        </is>
      </c>
      <c r="K495">
        <f>1540.18</f>
        <v/>
      </c>
    </row>
    <row r="496">
      <c r="A496" t="inlineStr">
        <is>
          <t>Total for T-00115</t>
        </is>
      </c>
      <c r="J496">
        <f>J494</f>
        <v/>
      </c>
      <c r="K496">
        <f>K495</f>
        <v/>
      </c>
    </row>
    <row r="497"/>
    <row r="498">
      <c r="A498" t="inlineStr">
        <is>
          <t>T-00092</t>
        </is>
      </c>
    </row>
    <row r="499">
      <c r="B499" t="inlineStr">
        <is>
          <t>03/15/2025</t>
        </is>
      </c>
      <c r="C499" t="inlineStr">
        <is>
          <t>Expense</t>
        </is>
      </c>
      <c r="D499" t="inlineStr"/>
      <c r="E499" t="inlineStr">
        <is>
          <t>Proseware Payroll</t>
        </is>
      </c>
      <c r="F499" t="inlineStr">
        <is>
          <t>Payroll 2025-03-15 gross wages</t>
        </is>
      </c>
      <c r="G499" t="inlineStr">
        <is>
          <t>6000</t>
        </is>
      </c>
      <c r="H499" t="inlineStr">
        <is>
          <t>Salaries and Wages</t>
        </is>
      </c>
      <c r="I499" t="inlineStr">
        <is>
          <t>Overhead</t>
        </is>
      </c>
      <c r="J499">
        <f>19900.00</f>
        <v/>
      </c>
    </row>
    <row r="500">
      <c r="B500" t="inlineStr">
        <is>
          <t>03/15/2025</t>
        </is>
      </c>
      <c r="C500" t="inlineStr">
        <is>
          <t>Expense</t>
        </is>
      </c>
      <c r="D500" t="inlineStr"/>
      <c r="E500" t="inlineStr">
        <is>
          <t>Proseware Payroll</t>
        </is>
      </c>
      <c r="F500" t="inlineStr">
        <is>
          <t>Payroll 2025-03-15 employer taxes</t>
        </is>
      </c>
      <c r="G500" t="inlineStr">
        <is>
          <t>6010</t>
        </is>
      </c>
      <c r="H500" t="inlineStr">
        <is>
          <t>Payroll Taxes</t>
        </is>
      </c>
      <c r="I500" t="inlineStr">
        <is>
          <t>Overhead</t>
        </is>
      </c>
      <c r="J500">
        <f>1522.35</f>
        <v/>
      </c>
    </row>
    <row r="501">
      <c r="B501" t="inlineStr">
        <is>
          <t>03/15/2025</t>
        </is>
      </c>
      <c r="C501" t="inlineStr">
        <is>
          <t>Expense</t>
        </is>
      </c>
      <c r="D501" t="inlineStr"/>
      <c r="E501" t="inlineStr">
        <is>
          <t>Proseware Payroll</t>
        </is>
      </c>
      <c r="F501" t="inlineStr">
        <is>
          <t>Proseware payroll debit 2025-03-15</t>
        </is>
      </c>
      <c r="G501" t="inlineStr">
        <is>
          <t>1010</t>
        </is>
      </c>
      <c r="H501" t="inlineStr">
        <is>
          <t>Northgate Checking 7742</t>
        </is>
      </c>
      <c r="I501" t="inlineStr">
        <is>
          <t>Overhead</t>
        </is>
      </c>
      <c r="K501">
        <f>21422.35</f>
        <v/>
      </c>
    </row>
    <row r="502">
      <c r="A502" t="inlineStr">
        <is>
          <t>Total for T-00092</t>
        </is>
      </c>
      <c r="J502">
        <f>J499+J500</f>
        <v/>
      </c>
      <c r="K502">
        <f>K501</f>
        <v/>
      </c>
    </row>
    <row r="503"/>
    <row r="504">
      <c r="A504" t="inlineStr">
        <is>
          <t>T-00094</t>
        </is>
      </c>
    </row>
    <row r="505">
      <c r="B505" t="inlineStr">
        <is>
          <t>03/15/2025</t>
        </is>
      </c>
      <c r="C505" t="inlineStr">
        <is>
          <t>Deposit</t>
        </is>
      </c>
      <c r="D505" t="inlineStr"/>
      <c r="E505" t="inlineStr">
        <is>
          <t>Paylane</t>
        </is>
      </c>
      <c r="F505" t="inlineStr">
        <is>
          <t>Paylane payout 2025-03 #1</t>
        </is>
      </c>
      <c r="G505" t="inlineStr">
        <is>
          <t>1010</t>
        </is>
      </c>
      <c r="H505" t="inlineStr">
        <is>
          <t>Northgate Checking 7742</t>
        </is>
      </c>
      <c r="I505" t="inlineStr">
        <is>
          <t>Product</t>
        </is>
      </c>
      <c r="J505">
        <f>14806.72</f>
        <v/>
      </c>
    </row>
    <row r="506">
      <c r="B506" t="inlineStr">
        <is>
          <t>03/15/2025</t>
        </is>
      </c>
      <c r="C506" t="inlineStr">
        <is>
          <t>Deposit</t>
        </is>
      </c>
      <c r="D506" t="inlineStr"/>
      <c r="E506" t="inlineStr">
        <is>
          <t>Paylane</t>
        </is>
      </c>
      <c r="F506" t="inlineStr">
        <is>
          <t>Paylane payout 2025-03 #1</t>
        </is>
      </c>
      <c r="G506" t="inlineStr">
        <is>
          <t>1200</t>
        </is>
      </c>
      <c r="H506" t="inlineStr">
        <is>
          <t>Paylane Clearing</t>
        </is>
      </c>
      <c r="I506" t="inlineStr">
        <is>
          <t>Product</t>
        </is>
      </c>
      <c r="K506">
        <f>14806.72</f>
        <v/>
      </c>
    </row>
    <row r="507">
      <c r="A507" t="inlineStr">
        <is>
          <t>Total for T-00094</t>
        </is>
      </c>
      <c r="J507">
        <f>J505</f>
        <v/>
      </c>
      <c r="K507">
        <f>K506</f>
        <v/>
      </c>
    </row>
    <row r="508"/>
    <row r="509">
      <c r="A509" t="inlineStr">
        <is>
          <t>T-00103</t>
        </is>
      </c>
    </row>
    <row r="510">
      <c r="B510" t="inlineStr">
        <is>
          <t>03/15/2025</t>
        </is>
      </c>
      <c r="C510" t="inlineStr">
        <is>
          <t>Credit Card Charge</t>
        </is>
      </c>
      <c r="D510" t="inlineStr"/>
      <c r="E510" t="inlineStr">
        <is>
          <t>Contoso Cloud</t>
        </is>
      </c>
      <c r="F510" t="inlineStr">
        <is>
          <t>Contoso Cloud 2025-03</t>
        </is>
      </c>
      <c r="G510" t="inlineStr">
        <is>
          <t>6300</t>
        </is>
      </c>
      <c r="H510" t="inlineStr">
        <is>
          <t>Cloud Hosting</t>
        </is>
      </c>
      <c r="I510" t="inlineStr">
        <is>
          <t>Services</t>
        </is>
      </c>
      <c r="J510">
        <f>610.28</f>
        <v/>
      </c>
    </row>
    <row r="511">
      <c r="B511" t="inlineStr">
        <is>
          <t>03/15/2025</t>
        </is>
      </c>
      <c r="C511" t="inlineStr">
        <is>
          <t>Credit Card Charge</t>
        </is>
      </c>
      <c r="D511" t="inlineStr"/>
      <c r="E511" t="inlineStr">
        <is>
          <t>Contoso Cloud</t>
        </is>
      </c>
      <c r="F511" t="inlineStr">
        <is>
          <t>Contoso Cloud 2025-03</t>
        </is>
      </c>
      <c r="G511" t="inlineStr">
        <is>
          <t>2100</t>
        </is>
      </c>
      <c r="H511" t="inlineStr">
        <is>
          <t>Vantage Card 3391</t>
        </is>
      </c>
      <c r="I511" t="inlineStr">
        <is>
          <t>Services</t>
        </is>
      </c>
      <c r="K511">
        <f>610.28</f>
        <v/>
      </c>
    </row>
    <row r="512">
      <c r="A512" t="inlineStr">
        <is>
          <t>Total for T-00103</t>
        </is>
      </c>
      <c r="J512">
        <f>J510</f>
        <v/>
      </c>
      <c r="K512">
        <f>K511</f>
        <v/>
      </c>
    </row>
    <row r="513"/>
    <row r="514">
      <c r="A514" t="inlineStr">
        <is>
          <t>T-00105</t>
        </is>
      </c>
    </row>
    <row r="515">
      <c r="B515" t="inlineStr">
        <is>
          <t>03/17/2025</t>
        </is>
      </c>
      <c r="C515" t="inlineStr">
        <is>
          <t>Expense</t>
        </is>
      </c>
      <c r="D515" t="inlineStr"/>
      <c r="E515" t="inlineStr">
        <is>
          <t>Bluepeak Engineering</t>
        </is>
      </c>
      <c r="F515" t="inlineStr">
        <is>
          <t>Bluepeak Engineering invoice 99978</t>
        </is>
      </c>
      <c r="G515" t="inlineStr">
        <is>
          <t>6100</t>
        </is>
      </c>
      <c r="H515" t="inlineStr">
        <is>
          <t>Contract Engineering</t>
        </is>
      </c>
      <c r="I515" t="inlineStr">
        <is>
          <t>Product</t>
        </is>
      </c>
      <c r="J515">
        <f>1693.35</f>
        <v/>
      </c>
    </row>
    <row r="516">
      <c r="B516" t="inlineStr">
        <is>
          <t>03/17/2025</t>
        </is>
      </c>
      <c r="C516" t="inlineStr">
        <is>
          <t>Expense</t>
        </is>
      </c>
      <c r="D516" t="inlineStr"/>
      <c r="E516" t="inlineStr">
        <is>
          <t>Bluepeak Engineering</t>
        </is>
      </c>
      <c r="F516" t="inlineStr">
        <is>
          <t>Bluepeak Engineering invoice 99978</t>
        </is>
      </c>
      <c r="G516" t="inlineStr">
        <is>
          <t>1010</t>
        </is>
      </c>
      <c r="H516" t="inlineStr">
        <is>
          <t>Northgate Checking 7742</t>
        </is>
      </c>
      <c r="I516" t="inlineStr">
        <is>
          <t>Product</t>
        </is>
      </c>
      <c r="K516">
        <f>1693.35</f>
        <v/>
      </c>
    </row>
    <row r="517">
      <c r="A517" t="inlineStr">
        <is>
          <t>Total for T-00105</t>
        </is>
      </c>
      <c r="J517">
        <f>J515</f>
        <v/>
      </c>
      <c r="K517">
        <f>K516</f>
        <v/>
      </c>
    </row>
    <row r="518"/>
    <row r="519">
      <c r="A519" t="inlineStr">
        <is>
          <t>T-00109</t>
        </is>
      </c>
    </row>
    <row r="520">
      <c r="B520" t="inlineStr">
        <is>
          <t>03/17/2025</t>
        </is>
      </c>
      <c r="C520" t="inlineStr">
        <is>
          <t>Expense</t>
        </is>
      </c>
      <c r="D520" t="inlineStr"/>
      <c r="E520" t="inlineStr">
        <is>
          <t>Bluepeak Engineering</t>
        </is>
      </c>
      <c r="F520" t="inlineStr">
        <is>
          <t>Bluepeak Engineering invoice 63549</t>
        </is>
      </c>
      <c r="G520" t="inlineStr">
        <is>
          <t>6100</t>
        </is>
      </c>
      <c r="H520" t="inlineStr">
        <is>
          <t>Contract Engineering</t>
        </is>
      </c>
      <c r="I520" t="inlineStr">
        <is>
          <t>Product</t>
        </is>
      </c>
      <c r="J520">
        <f>1856.53</f>
        <v/>
      </c>
    </row>
    <row r="521">
      <c r="B521" t="inlineStr">
        <is>
          <t>03/17/2025</t>
        </is>
      </c>
      <c r="C521" t="inlineStr">
        <is>
          <t>Expense</t>
        </is>
      </c>
      <c r="D521" t="inlineStr"/>
      <c r="E521" t="inlineStr">
        <is>
          <t>Bluepeak Engineering</t>
        </is>
      </c>
      <c r="F521" t="inlineStr">
        <is>
          <t>Bluepeak Engineering invoice 63549</t>
        </is>
      </c>
      <c r="G521" t="inlineStr">
        <is>
          <t>1010</t>
        </is>
      </c>
      <c r="H521" t="inlineStr">
        <is>
          <t>Northgate Checking 7742</t>
        </is>
      </c>
      <c r="I521" t="inlineStr">
        <is>
          <t>Product</t>
        </is>
      </c>
      <c r="K521">
        <f>1856.53</f>
        <v/>
      </c>
    </row>
    <row r="522">
      <c r="A522" t="inlineStr">
        <is>
          <t>Total for T-00109</t>
        </is>
      </c>
      <c r="J522">
        <f>J520</f>
        <v/>
      </c>
      <c r="K522">
        <f>K521</f>
        <v/>
      </c>
    </row>
    <row r="523"/>
    <row r="524">
      <c r="A524" t="inlineStr">
        <is>
          <t>T-00114</t>
        </is>
      </c>
    </row>
    <row r="525">
      <c r="B525" t="inlineStr">
        <is>
          <t>03/17/2025</t>
        </is>
      </c>
      <c r="C525" t="inlineStr">
        <is>
          <t>Expense</t>
        </is>
      </c>
      <c r="D525" t="inlineStr"/>
      <c r="E525" t="inlineStr">
        <is>
          <t>Quartz CAD Services</t>
        </is>
      </c>
      <c r="F525" t="inlineStr">
        <is>
          <t>Quartz CAD Services invoice 45066</t>
        </is>
      </c>
      <c r="G525" t="inlineStr">
        <is>
          <t>6100</t>
        </is>
      </c>
      <c r="H525" t="inlineStr">
        <is>
          <t>Contract Engineering</t>
        </is>
      </c>
      <c r="I525" t="inlineStr">
        <is>
          <t>Product</t>
        </is>
      </c>
      <c r="J525">
        <f>416.46</f>
        <v/>
      </c>
    </row>
    <row r="526">
      <c r="B526" t="inlineStr">
        <is>
          <t>03/17/2025</t>
        </is>
      </c>
      <c r="C526" t="inlineStr">
        <is>
          <t>Expense</t>
        </is>
      </c>
      <c r="D526" t="inlineStr"/>
      <c r="E526" t="inlineStr">
        <is>
          <t>Quartz CAD Services</t>
        </is>
      </c>
      <c r="F526" t="inlineStr">
        <is>
          <t>Quartz CAD Services invoice 45066</t>
        </is>
      </c>
      <c r="G526" t="inlineStr">
        <is>
          <t>1010</t>
        </is>
      </c>
      <c r="H526" t="inlineStr">
        <is>
          <t>Northgate Checking 7742</t>
        </is>
      </c>
      <c r="I526" t="inlineStr">
        <is>
          <t>Product</t>
        </is>
      </c>
      <c r="K526">
        <f>416.46</f>
        <v/>
      </c>
    </row>
    <row r="527">
      <c r="A527" t="inlineStr">
        <is>
          <t>Total for T-00114</t>
        </is>
      </c>
      <c r="J527">
        <f>J525</f>
        <v/>
      </c>
      <c r="K527">
        <f>K526</f>
        <v/>
      </c>
    </row>
    <row r="528"/>
    <row r="529">
      <c r="A529" t="inlineStr">
        <is>
          <t>T-00097</t>
        </is>
      </c>
    </row>
    <row r="530">
      <c r="B530" t="inlineStr">
        <is>
          <t>03/18/2025</t>
        </is>
      </c>
      <c r="C530" t="inlineStr">
        <is>
          <t>Expense</t>
        </is>
      </c>
      <c r="D530" t="inlineStr"/>
      <c r="E530" t="inlineStr">
        <is>
          <t>Trey Research</t>
        </is>
      </c>
      <c r="F530" t="inlineStr">
        <is>
          <t>Trey Research monthly engagement</t>
        </is>
      </c>
      <c r="G530" t="inlineStr">
        <is>
          <t>6100</t>
        </is>
      </c>
      <c r="H530" t="inlineStr">
        <is>
          <t>Contract Engineering</t>
        </is>
      </c>
      <c r="I530" t="inlineStr">
        <is>
          <t>Product</t>
        </is>
      </c>
      <c r="J530">
        <f>3420.88</f>
        <v/>
      </c>
    </row>
    <row r="531">
      <c r="B531" t="inlineStr">
        <is>
          <t>03/18/2025</t>
        </is>
      </c>
      <c r="C531" t="inlineStr">
        <is>
          <t>Expense</t>
        </is>
      </c>
      <c r="D531" t="inlineStr"/>
      <c r="E531" t="inlineStr">
        <is>
          <t>Trey Research</t>
        </is>
      </c>
      <c r="F531" t="inlineStr">
        <is>
          <t>Trey Research monthly engagement</t>
        </is>
      </c>
      <c r="G531" t="inlineStr">
        <is>
          <t>1010</t>
        </is>
      </c>
      <c r="H531" t="inlineStr">
        <is>
          <t>Northgate Checking 7742</t>
        </is>
      </c>
      <c r="I531" t="inlineStr">
        <is>
          <t>Product</t>
        </is>
      </c>
      <c r="K531">
        <f>3420.88</f>
        <v/>
      </c>
    </row>
    <row r="532">
      <c r="A532" t="inlineStr">
        <is>
          <t>Total for T-00097</t>
        </is>
      </c>
      <c r="J532">
        <f>J530</f>
        <v/>
      </c>
      <c r="K532">
        <f>K531</f>
        <v/>
      </c>
    </row>
    <row r="533"/>
    <row r="534">
      <c r="A534" t="inlineStr">
        <is>
          <t>T-00106</t>
        </is>
      </c>
    </row>
    <row r="535">
      <c r="B535" t="inlineStr">
        <is>
          <t>03/19/2025</t>
        </is>
      </c>
      <c r="C535" t="inlineStr">
        <is>
          <t>Credit Card Charge</t>
        </is>
      </c>
      <c r="D535" t="inlineStr"/>
      <c r="E535" t="inlineStr">
        <is>
          <t>Lumina Ads</t>
        </is>
      </c>
      <c r="F535" t="inlineStr">
        <is>
          <t>Lumina Ads 2025-03</t>
        </is>
      </c>
      <c r="G535" t="inlineStr">
        <is>
          <t>6600</t>
        </is>
      </c>
      <c r="H535" t="inlineStr">
        <is>
          <t>Marketing and Advertising</t>
        </is>
      </c>
      <c r="I535" t="inlineStr">
        <is>
          <t>Overhead</t>
        </is>
      </c>
      <c r="J535">
        <f>2420.49</f>
        <v/>
      </c>
    </row>
    <row r="536">
      <c r="B536" t="inlineStr">
        <is>
          <t>03/19/2025</t>
        </is>
      </c>
      <c r="C536" t="inlineStr">
        <is>
          <t>Credit Card Charge</t>
        </is>
      </c>
      <c r="D536" t="inlineStr"/>
      <c r="E536" t="inlineStr">
        <is>
          <t>Lumina Ads</t>
        </is>
      </c>
      <c r="F536" t="inlineStr">
        <is>
          <t>Lumina Ads 2025-03</t>
        </is>
      </c>
      <c r="G536" t="inlineStr">
        <is>
          <t>2100</t>
        </is>
      </c>
      <c r="H536" t="inlineStr">
        <is>
          <t>Vantage Card 3391</t>
        </is>
      </c>
      <c r="I536" t="inlineStr">
        <is>
          <t>Overhead</t>
        </is>
      </c>
      <c r="K536">
        <f>2420.49</f>
        <v/>
      </c>
    </row>
    <row r="537">
      <c r="A537" t="inlineStr">
        <is>
          <t>Total for T-00106</t>
        </is>
      </c>
      <c r="J537">
        <f>J535</f>
        <v/>
      </c>
      <c r="K537">
        <f>K536</f>
        <v/>
      </c>
    </row>
    <row r="538"/>
    <row r="539">
      <c r="A539" t="inlineStr">
        <is>
          <t>T-00116</t>
        </is>
      </c>
    </row>
    <row r="540">
      <c r="B540" t="inlineStr">
        <is>
          <t>03/19/2025</t>
        </is>
      </c>
      <c r="C540" t="inlineStr">
        <is>
          <t>Credit Card Charge</t>
        </is>
      </c>
      <c r="D540" t="inlineStr"/>
      <c r="E540" t="inlineStr">
        <is>
          <t>Contoso Cloud</t>
        </is>
      </c>
      <c r="F540" t="inlineStr">
        <is>
          <t>Contoso Cloud 2025-03</t>
        </is>
      </c>
      <c r="G540" t="inlineStr">
        <is>
          <t>6300</t>
        </is>
      </c>
      <c r="H540" t="inlineStr">
        <is>
          <t>Cloud Hosting</t>
        </is>
      </c>
      <c r="I540" t="inlineStr">
        <is>
          <t>Services</t>
        </is>
      </c>
      <c r="J540">
        <f>361.57</f>
        <v/>
      </c>
    </row>
    <row r="541">
      <c r="B541" t="inlineStr">
        <is>
          <t>03/19/2025</t>
        </is>
      </c>
      <c r="C541" t="inlineStr">
        <is>
          <t>Credit Card Charge</t>
        </is>
      </c>
      <c r="D541" t="inlineStr"/>
      <c r="E541" t="inlineStr">
        <is>
          <t>Contoso Cloud</t>
        </is>
      </c>
      <c r="F541" t="inlineStr">
        <is>
          <t>Contoso Cloud 2025-03</t>
        </is>
      </c>
      <c r="G541" t="inlineStr">
        <is>
          <t>2100</t>
        </is>
      </c>
      <c r="H541" t="inlineStr">
        <is>
          <t>Vantage Card 3391</t>
        </is>
      </c>
      <c r="I541" t="inlineStr">
        <is>
          <t>Services</t>
        </is>
      </c>
      <c r="K541">
        <f>361.57</f>
        <v/>
      </c>
    </row>
    <row r="542">
      <c r="A542" t="inlineStr">
        <is>
          <t>Total for T-00116</t>
        </is>
      </c>
      <c r="J542">
        <f>J540</f>
        <v/>
      </c>
      <c r="K542">
        <f>K541</f>
        <v/>
      </c>
    </row>
    <row r="543"/>
    <row r="544">
      <c r="A544" t="inlineStr">
        <is>
          <t>T-00091</t>
        </is>
      </c>
    </row>
    <row r="545">
      <c r="B545" t="inlineStr">
        <is>
          <t>03/20/2025</t>
        </is>
      </c>
      <c r="C545" t="inlineStr">
        <is>
          <t>Bill</t>
        </is>
      </c>
      <c r="D545" t="inlineStr">
        <is>
          <t>NWS-4402</t>
        </is>
      </c>
      <c r="E545" t="inlineStr">
        <is>
          <t>Northwind Supply</t>
        </is>
      </c>
      <c r="F545" t="inlineStr">
        <is>
          <t>NWS-4402 components</t>
        </is>
      </c>
      <c r="G545" t="inlineStr">
        <is>
          <t>5000</t>
        </is>
      </c>
      <c r="H545" t="inlineStr">
        <is>
          <t>Cost of Goods Sold - Components</t>
        </is>
      </c>
      <c r="I545" t="inlineStr">
        <is>
          <t>Product</t>
        </is>
      </c>
      <c r="J545">
        <f>9794.01</f>
        <v/>
      </c>
    </row>
    <row r="546">
      <c r="B546" t="inlineStr">
        <is>
          <t>03/20/2025</t>
        </is>
      </c>
      <c r="C546" t="inlineStr">
        <is>
          <t>Bill</t>
        </is>
      </c>
      <c r="D546" t="inlineStr">
        <is>
          <t>NWS-4402</t>
        </is>
      </c>
      <c r="E546" t="inlineStr">
        <is>
          <t>Northwind Supply</t>
        </is>
      </c>
      <c r="F546" t="inlineStr">
        <is>
          <t>NWS-4402 components</t>
        </is>
      </c>
      <c r="G546" t="inlineStr">
        <is>
          <t>2010</t>
        </is>
      </c>
      <c r="H546" t="inlineStr">
        <is>
          <t>Accounts Payable</t>
        </is>
      </c>
      <c r="I546" t="inlineStr">
        <is>
          <t>Product</t>
        </is>
      </c>
      <c r="K546">
        <f>9794.01</f>
        <v/>
      </c>
    </row>
    <row r="547">
      <c r="A547" t="inlineStr">
        <is>
          <t>Total for T-00091</t>
        </is>
      </c>
      <c r="J547">
        <f>J545</f>
        <v/>
      </c>
      <c r="K547">
        <f>K546</f>
        <v/>
      </c>
    </row>
    <row r="548"/>
    <row r="549">
      <c r="A549" t="inlineStr">
        <is>
          <t>T-00111</t>
        </is>
      </c>
    </row>
    <row r="550">
      <c r="B550" t="inlineStr">
        <is>
          <t>03/20/2025</t>
        </is>
      </c>
      <c r="C550" t="inlineStr">
        <is>
          <t>Expense</t>
        </is>
      </c>
      <c r="D550" t="inlineStr"/>
      <c r="E550" t="inlineStr">
        <is>
          <t>Litware Legal</t>
        </is>
      </c>
      <c r="F550" t="inlineStr">
        <is>
          <t>Litware Legal invoice 71263</t>
        </is>
      </c>
      <c r="G550" t="inlineStr">
        <is>
          <t>6800</t>
        </is>
      </c>
      <c r="H550" t="inlineStr">
        <is>
          <t>Professional Fees</t>
        </is>
      </c>
      <c r="I550" t="inlineStr">
        <is>
          <t>Overhead</t>
        </is>
      </c>
      <c r="J550">
        <f>2100.69</f>
        <v/>
      </c>
    </row>
    <row r="551">
      <c r="B551" t="inlineStr">
        <is>
          <t>03/20/2025</t>
        </is>
      </c>
      <c r="C551" t="inlineStr">
        <is>
          <t>Expense</t>
        </is>
      </c>
      <c r="D551" t="inlineStr"/>
      <c r="E551" t="inlineStr">
        <is>
          <t>Litware Legal</t>
        </is>
      </c>
      <c r="F551" t="inlineStr">
        <is>
          <t>Litware Legal invoice 71263</t>
        </is>
      </c>
      <c r="G551" t="inlineStr">
        <is>
          <t>1010</t>
        </is>
      </c>
      <c r="H551" t="inlineStr">
        <is>
          <t>Northgate Checking 7742</t>
        </is>
      </c>
      <c r="I551" t="inlineStr">
        <is>
          <t>Overhead</t>
        </is>
      </c>
      <c r="K551">
        <f>2100.69</f>
        <v/>
      </c>
    </row>
    <row r="552">
      <c r="A552" t="inlineStr">
        <is>
          <t>Total for T-00111</t>
        </is>
      </c>
      <c r="J552">
        <f>J550</f>
        <v/>
      </c>
      <c r="K552">
        <f>K551</f>
        <v/>
      </c>
    </row>
    <row r="553"/>
    <row r="554">
      <c r="A554" t="inlineStr">
        <is>
          <t>T-00117</t>
        </is>
      </c>
    </row>
    <row r="555">
      <c r="B555" t="inlineStr">
        <is>
          <t>03/21/2025</t>
        </is>
      </c>
      <c r="C555" t="inlineStr">
        <is>
          <t>Credit Card Charge</t>
        </is>
      </c>
      <c r="D555" t="inlineStr"/>
      <c r="E555" t="inlineStr">
        <is>
          <t>Skyward Air</t>
        </is>
      </c>
      <c r="F555" t="inlineStr">
        <is>
          <t>Skyward Air 2025-03</t>
        </is>
      </c>
      <c r="G555" t="inlineStr">
        <is>
          <t>6900</t>
        </is>
      </c>
      <c r="H555" t="inlineStr">
        <is>
          <t>Travel and Meals</t>
        </is>
      </c>
      <c r="I555" t="inlineStr">
        <is>
          <t>Overhead</t>
        </is>
      </c>
      <c r="J555">
        <f>490.39</f>
        <v/>
      </c>
    </row>
    <row r="556">
      <c r="B556" t="inlineStr">
        <is>
          <t>03/21/2025</t>
        </is>
      </c>
      <c r="C556" t="inlineStr">
        <is>
          <t>Credit Card Charge</t>
        </is>
      </c>
      <c r="D556" t="inlineStr"/>
      <c r="E556" t="inlineStr">
        <is>
          <t>Skyward Air</t>
        </is>
      </c>
      <c r="F556" t="inlineStr">
        <is>
          <t>Skyward Air 2025-03</t>
        </is>
      </c>
      <c r="G556" t="inlineStr">
        <is>
          <t>2100</t>
        </is>
      </c>
      <c r="H556" t="inlineStr">
        <is>
          <t>Vantage Card 3391</t>
        </is>
      </c>
      <c r="I556" t="inlineStr">
        <is>
          <t>Overhead</t>
        </is>
      </c>
      <c r="K556">
        <f>490.39</f>
        <v/>
      </c>
    </row>
    <row r="557">
      <c r="A557" t="inlineStr">
        <is>
          <t>Total for T-00117</t>
        </is>
      </c>
      <c r="J557">
        <f>J555</f>
        <v/>
      </c>
      <c r="K557">
        <f>K556</f>
        <v/>
      </c>
    </row>
    <row r="558"/>
    <row r="559">
      <c r="A559" t="inlineStr">
        <is>
          <t>T-00118</t>
        </is>
      </c>
    </row>
    <row r="560">
      <c r="B560" t="inlineStr">
        <is>
          <t>03/21/2025</t>
        </is>
      </c>
      <c r="C560" t="inlineStr">
        <is>
          <t>Expense</t>
        </is>
      </c>
      <c r="D560" t="inlineStr"/>
      <c r="E560" t="inlineStr">
        <is>
          <t>Northwind Supply</t>
        </is>
      </c>
      <c r="F560" t="inlineStr">
        <is>
          <t>Northwind Supply invoice 85666</t>
        </is>
      </c>
      <c r="G560" t="inlineStr">
        <is>
          <t>5000</t>
        </is>
      </c>
      <c r="H560" t="inlineStr">
        <is>
          <t>Cost of Goods Sold - Components</t>
        </is>
      </c>
      <c r="I560" t="inlineStr">
        <is>
          <t>Product</t>
        </is>
      </c>
      <c r="J560">
        <f>759.63</f>
        <v/>
      </c>
    </row>
    <row r="561">
      <c r="B561" t="inlineStr">
        <is>
          <t>03/21/2025</t>
        </is>
      </c>
      <c r="C561" t="inlineStr">
        <is>
          <t>Expense</t>
        </is>
      </c>
      <c r="D561" t="inlineStr"/>
      <c r="E561" t="inlineStr">
        <is>
          <t>Northwind Supply</t>
        </is>
      </c>
      <c r="F561" t="inlineStr">
        <is>
          <t>Northwind Supply invoice 85666</t>
        </is>
      </c>
      <c r="G561" t="inlineStr">
        <is>
          <t>1010</t>
        </is>
      </c>
      <c r="H561" t="inlineStr">
        <is>
          <t>Northgate Checking 7742</t>
        </is>
      </c>
      <c r="I561" t="inlineStr">
        <is>
          <t>Product</t>
        </is>
      </c>
      <c r="K561">
        <f>759.63</f>
        <v/>
      </c>
    </row>
    <row r="562">
      <c r="A562" t="inlineStr">
        <is>
          <t>Total for T-00118</t>
        </is>
      </c>
      <c r="J562">
        <f>J560</f>
        <v/>
      </c>
      <c r="K562">
        <f>K561</f>
        <v/>
      </c>
    </row>
    <row r="563"/>
    <row r="564">
      <c r="A564" t="inlineStr">
        <is>
          <t>T-00083</t>
        </is>
      </c>
    </row>
    <row r="565">
      <c r="B565" t="inlineStr">
        <is>
          <t>03/22/2025</t>
        </is>
      </c>
      <c r="C565" t="inlineStr">
        <is>
          <t>Credit Card Charge</t>
        </is>
      </c>
      <c r="D565" t="inlineStr"/>
      <c r="E565" t="inlineStr">
        <is>
          <t>Fabrikam Freight</t>
        </is>
      </c>
      <c r="F565" t="inlineStr">
        <is>
          <t>Outbound freight 2025-03</t>
        </is>
      </c>
      <c r="G565" t="inlineStr">
        <is>
          <t>5100</t>
        </is>
      </c>
      <c r="H565" t="inlineStr">
        <is>
          <t>Shipping and Freight</t>
        </is>
      </c>
      <c r="I565" t="inlineStr">
        <is>
          <t>Product</t>
        </is>
      </c>
      <c r="J565">
        <f>1524.78</f>
        <v/>
      </c>
    </row>
    <row r="566">
      <c r="B566" t="inlineStr">
        <is>
          <t>03/22/2025</t>
        </is>
      </c>
      <c r="C566" t="inlineStr">
        <is>
          <t>Credit Card Charge</t>
        </is>
      </c>
      <c r="D566" t="inlineStr"/>
      <c r="E566" t="inlineStr">
        <is>
          <t>Fabrikam Freight</t>
        </is>
      </c>
      <c r="F566" t="inlineStr">
        <is>
          <t>Outbound freight 2025-03</t>
        </is>
      </c>
      <c r="G566" t="inlineStr">
        <is>
          <t>2100</t>
        </is>
      </c>
      <c r="H566" t="inlineStr">
        <is>
          <t>Vantage Card 3391</t>
        </is>
      </c>
      <c r="I566" t="inlineStr">
        <is>
          <t>Product</t>
        </is>
      </c>
      <c r="K566">
        <f>1524.78</f>
        <v/>
      </c>
    </row>
    <row r="567">
      <c r="A567" t="inlineStr">
        <is>
          <t>Total for T-00083</t>
        </is>
      </c>
      <c r="J567">
        <f>J565</f>
        <v/>
      </c>
      <c r="K567">
        <f>K566</f>
        <v/>
      </c>
    </row>
    <row r="568"/>
    <row r="569">
      <c r="A569" t="inlineStr">
        <is>
          <t>T-00112</t>
        </is>
      </c>
    </row>
    <row r="570">
      <c r="B570" t="inlineStr">
        <is>
          <t>03/26/2025</t>
        </is>
      </c>
      <c r="C570" t="inlineStr">
        <is>
          <t>Credit Card Charge</t>
        </is>
      </c>
      <c r="D570" t="inlineStr"/>
      <c r="E570" t="inlineStr">
        <is>
          <t>Skyward Air</t>
        </is>
      </c>
      <c r="F570" t="inlineStr">
        <is>
          <t>Skyward Air 2025-03</t>
        </is>
      </c>
      <c r="G570" t="inlineStr">
        <is>
          <t>6900</t>
        </is>
      </c>
      <c r="H570" t="inlineStr">
        <is>
          <t>Travel and Meals</t>
        </is>
      </c>
      <c r="I570" t="inlineStr">
        <is>
          <t>Overhead</t>
        </is>
      </c>
      <c r="J570">
        <f>447.50</f>
        <v/>
      </c>
    </row>
    <row r="571">
      <c r="B571" t="inlineStr">
        <is>
          <t>03/26/2025</t>
        </is>
      </c>
      <c r="C571" t="inlineStr">
        <is>
          <t>Credit Card Charge</t>
        </is>
      </c>
      <c r="D571" t="inlineStr"/>
      <c r="E571" t="inlineStr">
        <is>
          <t>Skyward Air</t>
        </is>
      </c>
      <c r="F571" t="inlineStr">
        <is>
          <t>Skyward Air 2025-03</t>
        </is>
      </c>
      <c r="G571" t="inlineStr">
        <is>
          <t>2100</t>
        </is>
      </c>
      <c r="H571" t="inlineStr">
        <is>
          <t>Vantage Card 3391</t>
        </is>
      </c>
      <c r="I571" t="inlineStr">
        <is>
          <t>Overhead</t>
        </is>
      </c>
      <c r="K571">
        <f>447.50</f>
        <v/>
      </c>
    </row>
    <row r="572">
      <c r="A572" t="inlineStr">
        <is>
          <t>Total for T-00112</t>
        </is>
      </c>
      <c r="J572">
        <f>J570</f>
        <v/>
      </c>
      <c r="K572">
        <f>K571</f>
        <v/>
      </c>
    </row>
    <row r="573"/>
    <row r="574">
      <c r="A574" t="inlineStr">
        <is>
          <t>T-00107</t>
        </is>
      </c>
    </row>
    <row r="575">
      <c r="B575" t="inlineStr">
        <is>
          <t>03/27/2025</t>
        </is>
      </c>
      <c r="C575" t="inlineStr">
        <is>
          <t>Credit Card Charge</t>
        </is>
      </c>
      <c r="D575" t="inlineStr"/>
      <c r="E575" t="inlineStr">
        <is>
          <t>Contoso Cloud</t>
        </is>
      </c>
      <c r="F575" t="inlineStr">
        <is>
          <t>Contoso Cloud 2025-03</t>
        </is>
      </c>
      <c r="G575" t="inlineStr">
        <is>
          <t>6300</t>
        </is>
      </c>
      <c r="H575" t="inlineStr">
        <is>
          <t>Cloud Hosting</t>
        </is>
      </c>
      <c r="I575" t="inlineStr">
        <is>
          <t>Services</t>
        </is>
      </c>
      <c r="J575">
        <f>1388.20</f>
        <v/>
      </c>
    </row>
    <row r="576">
      <c r="B576" t="inlineStr">
        <is>
          <t>03/27/2025</t>
        </is>
      </c>
      <c r="C576" t="inlineStr">
        <is>
          <t>Credit Card Charge</t>
        </is>
      </c>
      <c r="D576" t="inlineStr"/>
      <c r="E576" t="inlineStr">
        <is>
          <t>Contoso Cloud</t>
        </is>
      </c>
      <c r="F576" t="inlineStr">
        <is>
          <t>Contoso Cloud 2025-03</t>
        </is>
      </c>
      <c r="G576" t="inlineStr">
        <is>
          <t>2100</t>
        </is>
      </c>
      <c r="H576" t="inlineStr">
        <is>
          <t>Vantage Card 3391</t>
        </is>
      </c>
      <c r="I576" t="inlineStr">
        <is>
          <t>Services</t>
        </is>
      </c>
      <c r="K576">
        <f>1388.20</f>
        <v/>
      </c>
    </row>
    <row r="577">
      <c r="A577" t="inlineStr">
        <is>
          <t>Total for T-00107</t>
        </is>
      </c>
      <c r="J577">
        <f>J575</f>
        <v/>
      </c>
      <c r="K577">
        <f>K576</f>
        <v/>
      </c>
    </row>
    <row r="578"/>
    <row r="579">
      <c r="A579" t="inlineStr">
        <is>
          <t>T-00108</t>
        </is>
      </c>
    </row>
    <row r="580">
      <c r="B580" t="inlineStr">
        <is>
          <t>03/27/2025</t>
        </is>
      </c>
      <c r="C580" t="inlineStr">
        <is>
          <t>Credit Card Charge</t>
        </is>
      </c>
      <c r="D580" t="inlineStr"/>
      <c r="E580" t="inlineStr">
        <is>
          <t>Tailspin Tools</t>
        </is>
      </c>
      <c r="F580" t="inlineStr">
        <is>
          <t>Tailspin Tools 2025-03</t>
        </is>
      </c>
      <c r="G580" t="inlineStr">
        <is>
          <t>6200</t>
        </is>
      </c>
      <c r="H580" t="inlineStr">
        <is>
          <t>Software Subscriptions</t>
        </is>
      </c>
      <c r="I580" t="inlineStr">
        <is>
          <t>Overhead</t>
        </is>
      </c>
      <c r="J580">
        <f>55.09</f>
        <v/>
      </c>
    </row>
    <row r="581">
      <c r="B581" t="inlineStr">
        <is>
          <t>03/27/2025</t>
        </is>
      </c>
      <c r="C581" t="inlineStr">
        <is>
          <t>Credit Card Charge</t>
        </is>
      </c>
      <c r="D581" t="inlineStr"/>
      <c r="E581" t="inlineStr">
        <is>
          <t>Tailspin Tools</t>
        </is>
      </c>
      <c r="F581" t="inlineStr">
        <is>
          <t>Tailspin Tools 2025-03</t>
        </is>
      </c>
      <c r="G581" t="inlineStr">
        <is>
          <t>2100</t>
        </is>
      </c>
      <c r="H581" t="inlineStr">
        <is>
          <t>Vantage Card 3391</t>
        </is>
      </c>
      <c r="I581" t="inlineStr">
        <is>
          <t>Overhead</t>
        </is>
      </c>
      <c r="K581">
        <f>55.09</f>
        <v/>
      </c>
    </row>
    <row r="582">
      <c r="A582" t="inlineStr">
        <is>
          <t>Total for T-00108</t>
        </is>
      </c>
      <c r="J582">
        <f>J580</f>
        <v/>
      </c>
      <c r="K582">
        <f>K581</f>
        <v/>
      </c>
    </row>
    <row r="583"/>
    <row r="584">
      <c r="A584" t="inlineStr">
        <is>
          <t>T-00110</t>
        </is>
      </c>
    </row>
    <row r="585">
      <c r="B585" t="inlineStr">
        <is>
          <t>03/27/2025</t>
        </is>
      </c>
      <c r="C585" t="inlineStr">
        <is>
          <t>Expense</t>
        </is>
      </c>
      <c r="D585" t="inlineStr"/>
      <c r="E585" t="inlineStr">
        <is>
          <t>Litware Legal</t>
        </is>
      </c>
      <c r="F585" t="inlineStr">
        <is>
          <t>Litware Legal invoice 11541</t>
        </is>
      </c>
      <c r="G585" t="inlineStr">
        <is>
          <t>6800</t>
        </is>
      </c>
      <c r="H585" t="inlineStr">
        <is>
          <t>Professional Fees</t>
        </is>
      </c>
      <c r="I585" t="inlineStr">
        <is>
          <t>Overhead</t>
        </is>
      </c>
      <c r="J585">
        <f>456.28</f>
        <v/>
      </c>
    </row>
    <row r="586">
      <c r="B586" t="inlineStr">
        <is>
          <t>03/27/2025</t>
        </is>
      </c>
      <c r="C586" t="inlineStr">
        <is>
          <t>Expense</t>
        </is>
      </c>
      <c r="D586" t="inlineStr"/>
      <c r="E586" t="inlineStr">
        <is>
          <t>Litware Legal</t>
        </is>
      </c>
      <c r="F586" t="inlineStr">
        <is>
          <t>Litware Legal invoice 11541</t>
        </is>
      </c>
      <c r="G586" t="inlineStr">
        <is>
          <t>1010</t>
        </is>
      </c>
      <c r="H586" t="inlineStr">
        <is>
          <t>Northgate Checking 7742</t>
        </is>
      </c>
      <c r="I586" t="inlineStr">
        <is>
          <t>Overhead</t>
        </is>
      </c>
      <c r="K586">
        <f>456.28</f>
        <v/>
      </c>
    </row>
    <row r="587">
      <c r="A587" t="inlineStr">
        <is>
          <t>Total for T-00110</t>
        </is>
      </c>
      <c r="J587">
        <f>J585</f>
        <v/>
      </c>
      <c r="K587">
        <f>K586</f>
        <v/>
      </c>
    </row>
    <row r="588"/>
    <row r="589">
      <c r="A589" t="inlineStr">
        <is>
          <t>T-00119</t>
        </is>
      </c>
    </row>
    <row r="590">
      <c r="B590" t="inlineStr">
        <is>
          <t>03/27/2025</t>
        </is>
      </c>
      <c r="C590" t="inlineStr">
        <is>
          <t>Credit Card Charge</t>
        </is>
      </c>
      <c r="D590" t="inlineStr"/>
      <c r="E590" t="inlineStr">
        <is>
          <t>Harbor Diner</t>
        </is>
      </c>
      <c r="F590" t="inlineStr">
        <is>
          <t>Harbor Diner 2025-03</t>
        </is>
      </c>
      <c r="G590" t="inlineStr">
        <is>
          <t>6900</t>
        </is>
      </c>
      <c r="H590" t="inlineStr">
        <is>
          <t>Travel and Meals</t>
        </is>
      </c>
      <c r="I590" t="inlineStr">
        <is>
          <t>Overhead</t>
        </is>
      </c>
      <c r="J590">
        <f>95.19</f>
        <v/>
      </c>
    </row>
    <row r="591">
      <c r="B591" t="inlineStr">
        <is>
          <t>03/27/2025</t>
        </is>
      </c>
      <c r="C591" t="inlineStr">
        <is>
          <t>Credit Card Charge</t>
        </is>
      </c>
      <c r="D591" t="inlineStr"/>
      <c r="E591" t="inlineStr">
        <is>
          <t>Harbor Diner</t>
        </is>
      </c>
      <c r="F591" t="inlineStr">
        <is>
          <t>Harbor Diner 2025-03</t>
        </is>
      </c>
      <c r="G591" t="inlineStr">
        <is>
          <t>2100</t>
        </is>
      </c>
      <c r="H591" t="inlineStr">
        <is>
          <t>Vantage Card 3391</t>
        </is>
      </c>
      <c r="I591" t="inlineStr">
        <is>
          <t>Overhead</t>
        </is>
      </c>
      <c r="K591">
        <f>95.19</f>
        <v/>
      </c>
    </row>
    <row r="592">
      <c r="A592" t="inlineStr">
        <is>
          <t>Total for T-00119</t>
        </is>
      </c>
      <c r="J592">
        <f>J590</f>
        <v/>
      </c>
      <c r="K592">
        <f>K591</f>
        <v/>
      </c>
    </row>
    <row r="593"/>
    <row r="594">
      <c r="A594" t="inlineStr">
        <is>
          <t>T-00093</t>
        </is>
      </c>
    </row>
    <row r="595">
      <c r="B595" t="inlineStr">
        <is>
          <t>03/31/2025</t>
        </is>
      </c>
      <c r="C595" t="inlineStr">
        <is>
          <t>Expense</t>
        </is>
      </c>
      <c r="D595" t="inlineStr"/>
      <c r="E595" t="inlineStr">
        <is>
          <t>Proseware Payroll</t>
        </is>
      </c>
      <c r="F595" t="inlineStr">
        <is>
          <t>Payroll 2025-03-31 gross wages</t>
        </is>
      </c>
      <c r="G595" t="inlineStr">
        <is>
          <t>6000</t>
        </is>
      </c>
      <c r="H595" t="inlineStr">
        <is>
          <t>Salaries and Wages</t>
        </is>
      </c>
      <c r="I595" t="inlineStr">
        <is>
          <t>Overhead</t>
        </is>
      </c>
      <c r="J595">
        <f>19900.00</f>
        <v/>
      </c>
    </row>
    <row r="596">
      <c r="B596" t="inlineStr">
        <is>
          <t>03/31/2025</t>
        </is>
      </c>
      <c r="C596" t="inlineStr">
        <is>
          <t>Expense</t>
        </is>
      </c>
      <c r="D596" t="inlineStr"/>
      <c r="E596" t="inlineStr">
        <is>
          <t>Proseware Payroll</t>
        </is>
      </c>
      <c r="F596" t="inlineStr">
        <is>
          <t>Payroll 2025-03-31 employer taxes</t>
        </is>
      </c>
      <c r="G596" t="inlineStr">
        <is>
          <t>6010</t>
        </is>
      </c>
      <c r="H596" t="inlineStr">
        <is>
          <t>Payroll Taxes</t>
        </is>
      </c>
      <c r="I596" t="inlineStr">
        <is>
          <t>Overhead</t>
        </is>
      </c>
      <c r="J596">
        <f>1522.35</f>
        <v/>
      </c>
    </row>
    <row r="597">
      <c r="B597" t="inlineStr">
        <is>
          <t>03/31/2025</t>
        </is>
      </c>
      <c r="C597" t="inlineStr">
        <is>
          <t>Expense</t>
        </is>
      </c>
      <c r="D597" t="inlineStr"/>
      <c r="E597" t="inlineStr">
        <is>
          <t>Proseware Payroll</t>
        </is>
      </c>
      <c r="F597" t="inlineStr">
        <is>
          <t>Proseware payroll debit 2025-03-31</t>
        </is>
      </c>
      <c r="G597" t="inlineStr">
        <is>
          <t>1010</t>
        </is>
      </c>
      <c r="H597" t="inlineStr">
        <is>
          <t>Northgate Checking 7742</t>
        </is>
      </c>
      <c r="I597" t="inlineStr">
        <is>
          <t>Overhead</t>
        </is>
      </c>
      <c r="K597">
        <f>21422.35</f>
        <v/>
      </c>
    </row>
    <row r="598">
      <c r="A598" t="inlineStr">
        <is>
          <t>Total for T-00093</t>
        </is>
      </c>
      <c r="J598">
        <f>J595+J596</f>
        <v/>
      </c>
      <c r="K598">
        <f>K597</f>
        <v/>
      </c>
    </row>
    <row r="599"/>
    <row r="600">
      <c r="A600" t="inlineStr">
        <is>
          <t>T-00095</t>
        </is>
      </c>
    </row>
    <row r="601">
      <c r="B601" t="inlineStr">
        <is>
          <t>03/31/2025</t>
        </is>
      </c>
      <c r="C601" t="inlineStr">
        <is>
          <t>Deposit</t>
        </is>
      </c>
      <c r="D601" t="inlineStr"/>
      <c r="E601" t="inlineStr">
        <is>
          <t>Paylane</t>
        </is>
      </c>
      <c r="F601" t="inlineStr">
        <is>
          <t>Paylane payout 2025-03 #2</t>
        </is>
      </c>
      <c r="G601" t="inlineStr">
        <is>
          <t>1010</t>
        </is>
      </c>
      <c r="H601" t="inlineStr">
        <is>
          <t>Northgate Checking 7742</t>
        </is>
      </c>
      <c r="I601" t="inlineStr">
        <is>
          <t>Product</t>
        </is>
      </c>
      <c r="J601">
        <f>12114.59</f>
        <v/>
      </c>
    </row>
    <row r="602">
      <c r="B602" t="inlineStr">
        <is>
          <t>03/31/2025</t>
        </is>
      </c>
      <c r="C602" t="inlineStr">
        <is>
          <t>Deposit</t>
        </is>
      </c>
      <c r="D602" t="inlineStr"/>
      <c r="E602" t="inlineStr">
        <is>
          <t>Paylane</t>
        </is>
      </c>
      <c r="F602" t="inlineStr">
        <is>
          <t>Paylane payout 2025-03 #2</t>
        </is>
      </c>
      <c r="G602" t="inlineStr">
        <is>
          <t>1200</t>
        </is>
      </c>
      <c r="H602" t="inlineStr">
        <is>
          <t>Paylane Clearing</t>
        </is>
      </c>
      <c r="I602" t="inlineStr">
        <is>
          <t>Product</t>
        </is>
      </c>
      <c r="K602">
        <f>12114.59</f>
        <v/>
      </c>
    </row>
    <row r="603">
      <c r="A603" t="inlineStr">
        <is>
          <t>Total for T-00095</t>
        </is>
      </c>
      <c r="J603">
        <f>J601</f>
        <v/>
      </c>
      <c r="K603">
        <f>K602</f>
        <v/>
      </c>
    </row>
    <row r="604"/>
    <row r="605">
      <c r="A605" t="inlineStr">
        <is>
          <t>T-00096</t>
        </is>
      </c>
    </row>
    <row r="606">
      <c r="B606" t="inlineStr">
        <is>
          <t>03/31/2025</t>
        </is>
      </c>
      <c r="C606" t="inlineStr">
        <is>
          <t>Journal Entry</t>
        </is>
      </c>
      <c r="D606" t="inlineStr">
        <is>
          <t>JE-1009</t>
        </is>
      </c>
      <c r="E606" t="inlineStr">
        <is>
          <t>Paylane</t>
        </is>
      </c>
      <c r="F606" t="inlineStr">
        <is>
          <t>Paylane settlement 2025-03</t>
        </is>
      </c>
      <c r="G606" t="inlineStr">
        <is>
          <t>1200</t>
        </is>
      </c>
      <c r="H606" t="inlineStr">
        <is>
          <t>Paylane Clearing</t>
        </is>
      </c>
      <c r="I606" t="inlineStr">
        <is>
          <t>Product</t>
        </is>
      </c>
      <c r="J606">
        <f>26921.31</f>
        <v/>
      </c>
    </row>
    <row r="607">
      <c r="B607" t="inlineStr">
        <is>
          <t>03/31/2025</t>
        </is>
      </c>
      <c r="C607" t="inlineStr">
        <is>
          <t>Journal Entry</t>
        </is>
      </c>
      <c r="D607" t="inlineStr">
        <is>
          <t>JE-1009</t>
        </is>
      </c>
      <c r="E607" t="inlineStr">
        <is>
          <t>Paylane</t>
        </is>
      </c>
      <c r="F607" t="inlineStr">
        <is>
          <t>Paylane processing fees 2025-03, 46 charges</t>
        </is>
      </c>
      <c r="G607" t="inlineStr">
        <is>
          <t>6950</t>
        </is>
      </c>
      <c r="H607" t="inlineStr">
        <is>
          <t>Bank and Processor Fees</t>
        </is>
      </c>
      <c r="I607" t="inlineStr">
        <is>
          <t>Overhead</t>
        </is>
      </c>
      <c r="J607">
        <f>818.25</f>
        <v/>
      </c>
    </row>
    <row r="608">
      <c r="B608" t="inlineStr">
        <is>
          <t>03/31/2025</t>
        </is>
      </c>
      <c r="C608" t="inlineStr">
        <is>
          <t>Journal Entry</t>
        </is>
      </c>
      <c r="D608" t="inlineStr">
        <is>
          <t>JE-1009</t>
        </is>
      </c>
      <c r="E608" t="inlineStr">
        <is>
          <t>Paylane</t>
        </is>
      </c>
      <c r="F608" t="inlineStr">
        <is>
          <t>Paylane product sales 2025-03</t>
        </is>
      </c>
      <c r="G608" t="inlineStr">
        <is>
          <t>4000</t>
        </is>
      </c>
      <c r="H608" t="inlineStr">
        <is>
          <t>Product Revenue</t>
        </is>
      </c>
      <c r="I608" t="inlineStr">
        <is>
          <t>Product</t>
        </is>
      </c>
      <c r="K608">
        <f>27739.56</f>
        <v/>
      </c>
    </row>
    <row r="609">
      <c r="A609" t="inlineStr">
        <is>
          <t>Total for T-00096</t>
        </is>
      </c>
      <c r="J609">
        <f>J606+J607</f>
        <v/>
      </c>
      <c r="K609">
        <f>K608</f>
        <v/>
      </c>
    </row>
    <row r="610"/>
    <row r="611">
      <c r="A611" t="inlineStr">
        <is>
          <t>T-00120</t>
        </is>
      </c>
    </row>
    <row r="612">
      <c r="B612" t="inlineStr">
        <is>
          <t>03/31/2025</t>
        </is>
      </c>
      <c r="C612" t="inlineStr">
        <is>
          <t>Expense</t>
        </is>
      </c>
      <c r="D612" t="inlineStr"/>
      <c r="E612" t="inlineStr">
        <is>
          <t>Northgate Bank</t>
        </is>
      </c>
      <c r="F612" t="inlineStr">
        <is>
          <t>Account analysis fee 2025-03</t>
        </is>
      </c>
      <c r="G612" t="inlineStr">
        <is>
          <t>6950</t>
        </is>
      </c>
      <c r="H612" t="inlineStr">
        <is>
          <t>Bank and Processor Fees</t>
        </is>
      </c>
      <c r="I612" t="inlineStr">
        <is>
          <t>Overhead</t>
        </is>
      </c>
      <c r="J612">
        <f>45.00</f>
        <v/>
      </c>
    </row>
    <row r="613">
      <c r="B613" t="inlineStr">
        <is>
          <t>03/31/2025</t>
        </is>
      </c>
      <c r="C613" t="inlineStr">
        <is>
          <t>Expense</t>
        </is>
      </c>
      <c r="D613" t="inlineStr"/>
      <c r="E613" t="inlineStr">
        <is>
          <t>Northgate Bank</t>
        </is>
      </c>
      <c r="F613" t="inlineStr">
        <is>
          <t>Account analysis fee 2025-03</t>
        </is>
      </c>
      <c r="G613" t="inlineStr">
        <is>
          <t>1010</t>
        </is>
      </c>
      <c r="H613" t="inlineStr">
        <is>
          <t>Northgate Checking 7742</t>
        </is>
      </c>
      <c r="I613" t="inlineStr">
        <is>
          <t>Overhead</t>
        </is>
      </c>
      <c r="K613">
        <f>45.00</f>
        <v/>
      </c>
    </row>
    <row r="614">
      <c r="A614" t="inlineStr">
        <is>
          <t>Total for T-00120</t>
        </is>
      </c>
      <c r="J614">
        <f>J612</f>
        <v/>
      </c>
      <c r="K614">
        <f>K613</f>
        <v/>
      </c>
    </row>
    <row r="615"/>
    <row r="616">
      <c r="A616" t="inlineStr">
        <is>
          <t>T-00121</t>
        </is>
      </c>
    </row>
    <row r="617">
      <c r="B617" t="inlineStr">
        <is>
          <t>03/31/2025</t>
        </is>
      </c>
      <c r="C617" t="inlineStr">
        <is>
          <t>Deposit</t>
        </is>
      </c>
      <c r="D617" t="inlineStr"/>
      <c r="E617" t="inlineStr">
        <is>
          <t>Northgate Bank</t>
        </is>
      </c>
      <c r="F617" t="inlineStr">
        <is>
          <t>Savings interest 2025-03</t>
        </is>
      </c>
      <c r="G617" t="inlineStr">
        <is>
          <t>1020</t>
        </is>
      </c>
      <c r="H617" t="inlineStr">
        <is>
          <t>Northgate Savings 7809</t>
        </is>
      </c>
      <c r="I617" t="inlineStr">
        <is>
          <t>Overhead</t>
        </is>
      </c>
      <c r="J617">
        <f>6.00</f>
        <v/>
      </c>
    </row>
    <row r="618">
      <c r="B618" t="inlineStr">
        <is>
          <t>03/31/2025</t>
        </is>
      </c>
      <c r="C618" t="inlineStr">
        <is>
          <t>Deposit</t>
        </is>
      </c>
      <c r="D618" t="inlineStr"/>
      <c r="E618" t="inlineStr">
        <is>
          <t>Northgate Bank</t>
        </is>
      </c>
      <c r="F618" t="inlineStr">
        <is>
          <t>Savings interest 2025-03</t>
        </is>
      </c>
      <c r="G618" t="inlineStr">
        <is>
          <t>4900</t>
        </is>
      </c>
      <c r="H618" t="inlineStr">
        <is>
          <t>Interest Income</t>
        </is>
      </c>
      <c r="I618" t="inlineStr">
        <is>
          <t>Overhead</t>
        </is>
      </c>
      <c r="K618">
        <f>6.00</f>
        <v/>
      </c>
    </row>
    <row r="619">
      <c r="A619" t="inlineStr">
        <is>
          <t>Total for T-00121</t>
        </is>
      </c>
      <c r="J619">
        <f>J617</f>
        <v/>
      </c>
      <c r="K619">
        <f>K618</f>
        <v/>
      </c>
    </row>
    <row r="620"/>
    <row r="621">
      <c r="A621" t="inlineStr">
        <is>
          <t>T-00122</t>
        </is>
      </c>
    </row>
    <row r="622">
      <c r="B622" t="inlineStr">
        <is>
          <t>03/31/2025</t>
        </is>
      </c>
      <c r="C622" t="inlineStr">
        <is>
          <t>Journal Entry</t>
        </is>
      </c>
      <c r="D622" t="inlineStr">
        <is>
          <t>JE-1010</t>
        </is>
      </c>
      <c r="E622" t="inlineStr">
        <is>
          <t>Adatum Insurance</t>
        </is>
      </c>
      <c r="F622" t="inlineStr">
        <is>
          <t>Insurance 2025-03</t>
        </is>
      </c>
      <c r="G622" t="inlineStr">
        <is>
          <t>6500</t>
        </is>
      </c>
      <c r="H622" t="inlineStr">
        <is>
          <t>Insurance</t>
        </is>
      </c>
      <c r="I622" t="inlineStr">
        <is>
          <t>Overhead</t>
        </is>
      </c>
      <c r="J622">
        <f>1200.00</f>
        <v/>
      </c>
    </row>
    <row r="623">
      <c r="B623" t="inlineStr">
        <is>
          <t>03/31/2025</t>
        </is>
      </c>
      <c r="C623" t="inlineStr">
        <is>
          <t>Journal Entry</t>
        </is>
      </c>
      <c r="D623" t="inlineStr">
        <is>
          <t>JE-1010</t>
        </is>
      </c>
      <c r="E623" t="inlineStr">
        <is>
          <t>Adatum Insurance</t>
        </is>
      </c>
      <c r="F623" t="inlineStr">
        <is>
          <t>Insurance 2025-03</t>
        </is>
      </c>
      <c r="G623" t="inlineStr">
        <is>
          <t>1300</t>
        </is>
      </c>
      <c r="H623" t="inlineStr">
        <is>
          <t>Prepaid Insurance</t>
        </is>
      </c>
      <c r="I623" t="inlineStr">
        <is>
          <t>Overhead</t>
        </is>
      </c>
      <c r="K623">
        <f>1200.00</f>
        <v/>
      </c>
    </row>
    <row r="624">
      <c r="A624" t="inlineStr">
        <is>
          <t>Total for T-00122</t>
        </is>
      </c>
      <c r="J624">
        <f>J622</f>
        <v/>
      </c>
      <c r="K624">
        <f>K623</f>
        <v/>
      </c>
    </row>
    <row r="625"/>
    <row r="626">
      <c r="A626" t="inlineStr">
        <is>
          <t>T-00123</t>
        </is>
      </c>
    </row>
    <row r="627">
      <c r="B627" t="inlineStr">
        <is>
          <t>03/31/2025</t>
        </is>
      </c>
      <c r="C627" t="inlineStr">
        <is>
          <t>Journal Entry</t>
        </is>
      </c>
      <c r="D627" t="inlineStr">
        <is>
          <t>JE-1011</t>
        </is>
      </c>
      <c r="E627" t="inlineStr">
        <is>
          <t>Tailspin Tools</t>
        </is>
      </c>
      <c r="F627" t="inlineStr">
        <is>
          <t>Software 2025-03</t>
        </is>
      </c>
      <c r="G627" t="inlineStr">
        <is>
          <t>6200</t>
        </is>
      </c>
      <c r="H627" t="inlineStr">
        <is>
          <t>Software Subscriptions</t>
        </is>
      </c>
      <c r="I627" t="inlineStr">
        <is>
          <t>Overhead</t>
        </is>
      </c>
      <c r="J627">
        <f>800.00</f>
        <v/>
      </c>
    </row>
    <row r="628">
      <c r="B628" t="inlineStr">
        <is>
          <t>03/31/2025</t>
        </is>
      </c>
      <c r="C628" t="inlineStr">
        <is>
          <t>Journal Entry</t>
        </is>
      </c>
      <c r="D628" t="inlineStr">
        <is>
          <t>JE-1011</t>
        </is>
      </c>
      <c r="E628" t="inlineStr">
        <is>
          <t>Tailspin Tools</t>
        </is>
      </c>
      <c r="F628" t="inlineStr">
        <is>
          <t>Software 2025-03</t>
        </is>
      </c>
      <c r="G628" t="inlineStr">
        <is>
          <t>1310</t>
        </is>
      </c>
      <c r="H628" t="inlineStr">
        <is>
          <t>Prepaid Software</t>
        </is>
      </c>
      <c r="I628" t="inlineStr">
        <is>
          <t>Overhead</t>
        </is>
      </c>
      <c r="K628">
        <f>800.00</f>
        <v/>
      </c>
    </row>
    <row r="629">
      <c r="A629" t="inlineStr">
        <is>
          <t>Total for T-00123</t>
        </is>
      </c>
      <c r="J629">
        <f>J627</f>
        <v/>
      </c>
      <c r="K629">
        <f>K628</f>
        <v/>
      </c>
    </row>
    <row r="630"/>
    <row r="631">
      <c r="A631" t="inlineStr">
        <is>
          <t>T-00124</t>
        </is>
      </c>
    </row>
    <row r="632">
      <c r="B632" t="inlineStr">
        <is>
          <t>03/31/2025</t>
        </is>
      </c>
      <c r="C632" t="inlineStr">
        <is>
          <t>Journal Entry</t>
        </is>
      </c>
      <c r="D632" t="inlineStr">
        <is>
          <t>JE-1012</t>
        </is>
      </c>
      <c r="E632" t="inlineStr">
        <is>
          <t>Orion Design Works</t>
        </is>
      </c>
      <c r="F632" t="inlineStr">
        <is>
          <t>Design license 2025-03</t>
        </is>
      </c>
      <c r="G632" t="inlineStr">
        <is>
          <t>7100</t>
        </is>
      </c>
      <c r="H632" t="inlineStr">
        <is>
          <t>Amortization Expense</t>
        </is>
      </c>
      <c r="I632" t="inlineStr">
        <is>
          <t>Product</t>
        </is>
      </c>
      <c r="J632">
        <f>1000.00</f>
        <v/>
      </c>
    </row>
    <row r="633">
      <c r="B633" t="inlineStr">
        <is>
          <t>03/31/2025</t>
        </is>
      </c>
      <c r="C633" t="inlineStr">
        <is>
          <t>Journal Entry</t>
        </is>
      </c>
      <c r="D633" t="inlineStr">
        <is>
          <t>JE-1012</t>
        </is>
      </c>
      <c r="E633" t="inlineStr">
        <is>
          <t>Orion Design Works</t>
        </is>
      </c>
      <c r="F633" t="inlineStr">
        <is>
          <t>Design license 2025-03</t>
        </is>
      </c>
      <c r="G633" t="inlineStr">
        <is>
          <t>1610</t>
        </is>
      </c>
      <c r="H633" t="inlineStr">
        <is>
          <t>Accumulated Amortization - Design License</t>
        </is>
      </c>
      <c r="I633" t="inlineStr">
        <is>
          <t>Product</t>
        </is>
      </c>
      <c r="K633">
        <f>1000.00</f>
        <v/>
      </c>
    </row>
    <row r="634">
      <c r="A634" t="inlineStr">
        <is>
          <t>Total for T-00124</t>
        </is>
      </c>
      <c r="J634">
        <f>J632</f>
        <v/>
      </c>
      <c r="K634">
        <f>K633</f>
        <v/>
      </c>
    </row>
    <row r="635"/>
    <row r="636">
      <c r="A636" t="inlineStr">
        <is>
          <t>T-00125</t>
        </is>
      </c>
    </row>
    <row r="637">
      <c r="B637" t="inlineStr">
        <is>
          <t>03/31/2025</t>
        </is>
      </c>
      <c r="C637" t="inlineStr">
        <is>
          <t>Journal Entry</t>
        </is>
      </c>
      <c r="D637" t="inlineStr">
        <is>
          <t>JE-1013</t>
        </is>
      </c>
      <c r="E637" t="inlineStr"/>
      <c r="F637" t="inlineStr">
        <is>
          <t>Depreciation 2025-03</t>
        </is>
      </c>
      <c r="G637" t="inlineStr">
        <is>
          <t>7000</t>
        </is>
      </c>
      <c r="H637" t="inlineStr">
        <is>
          <t>Depreciation Expense</t>
        </is>
      </c>
      <c r="I637" t="inlineStr">
        <is>
          <t>Product</t>
        </is>
      </c>
      <c r="J637">
        <f>800.00</f>
        <v/>
      </c>
    </row>
    <row r="638">
      <c r="B638" t="inlineStr">
        <is>
          <t>03/31/2025</t>
        </is>
      </c>
      <c r="C638" t="inlineStr">
        <is>
          <t>Journal Entry</t>
        </is>
      </c>
      <c r="D638" t="inlineStr">
        <is>
          <t>JE-1013</t>
        </is>
      </c>
      <c r="E638" t="inlineStr"/>
      <c r="F638" t="inlineStr">
        <is>
          <t>Depreciation 2025-03</t>
        </is>
      </c>
      <c r="G638" t="inlineStr">
        <is>
          <t>1510</t>
        </is>
      </c>
      <c r="H638" t="inlineStr">
        <is>
          <t>Accumulated Depreciation</t>
        </is>
      </c>
      <c r="I638" t="inlineStr">
        <is>
          <t>Product</t>
        </is>
      </c>
      <c r="K638">
        <f>800.00</f>
        <v/>
      </c>
    </row>
    <row r="639">
      <c r="A639" t="inlineStr">
        <is>
          <t>Total for T-00125</t>
        </is>
      </c>
      <c r="J639">
        <f>J637</f>
        <v/>
      </c>
      <c r="K639">
        <f>K638</f>
        <v/>
      </c>
    </row>
    <row r="640"/>
    <row r="641">
      <c r="A641" t="inlineStr">
        <is>
          <t>T-00126</t>
        </is>
      </c>
    </row>
    <row r="642">
      <c r="B642" t="inlineStr">
        <is>
          <t>04/01/2025</t>
        </is>
      </c>
      <c r="C642" t="inlineStr">
        <is>
          <t>Expense</t>
        </is>
      </c>
      <c r="D642" t="inlineStr"/>
      <c r="E642" t="inlineStr">
        <is>
          <t>Wingtip Workspace</t>
        </is>
      </c>
      <c r="F642" t="inlineStr">
        <is>
          <t>Office rent 2025-04</t>
        </is>
      </c>
      <c r="G642" t="inlineStr">
        <is>
          <t>6400</t>
        </is>
      </c>
      <c r="H642" t="inlineStr">
        <is>
          <t>Rent</t>
        </is>
      </c>
      <c r="I642" t="inlineStr">
        <is>
          <t>Overhead</t>
        </is>
      </c>
      <c r="J642">
        <f>6500.00</f>
        <v/>
      </c>
    </row>
    <row r="643">
      <c r="B643" t="inlineStr">
        <is>
          <t>04/01/2025</t>
        </is>
      </c>
      <c r="C643" t="inlineStr">
        <is>
          <t>Expense</t>
        </is>
      </c>
      <c r="D643" t="inlineStr"/>
      <c r="E643" t="inlineStr">
        <is>
          <t>Wingtip Workspace</t>
        </is>
      </c>
      <c r="F643" t="inlineStr">
        <is>
          <t>Office rent 2025-04</t>
        </is>
      </c>
      <c r="G643" t="inlineStr">
        <is>
          <t>1010</t>
        </is>
      </c>
      <c r="H643" t="inlineStr">
        <is>
          <t>Northgate Checking 7742</t>
        </is>
      </c>
      <c r="I643" t="inlineStr">
        <is>
          <t>Overhead</t>
        </is>
      </c>
      <c r="K643">
        <f>6500.00</f>
        <v/>
      </c>
    </row>
    <row r="644">
      <c r="A644" t="inlineStr">
        <is>
          <t>Total for T-00126</t>
        </is>
      </c>
      <c r="J644">
        <f>J642</f>
        <v/>
      </c>
      <c r="K644">
        <f>K643</f>
        <v/>
      </c>
    </row>
    <row r="645"/>
    <row r="646">
      <c r="A646" t="inlineStr">
        <is>
          <t>T-00150</t>
        </is>
      </c>
    </row>
    <row r="647">
      <c r="B647" t="inlineStr">
        <is>
          <t>04/03/2025</t>
        </is>
      </c>
      <c r="C647" t="inlineStr">
        <is>
          <t>Credit Card Charge</t>
        </is>
      </c>
      <c r="D647" t="inlineStr"/>
      <c r="E647" t="inlineStr">
        <is>
          <t>Contoso Cloud</t>
        </is>
      </c>
      <c r="F647" t="inlineStr">
        <is>
          <t>Contoso Cloud 2025-04</t>
        </is>
      </c>
      <c r="G647" t="inlineStr">
        <is>
          <t>6300</t>
        </is>
      </c>
      <c r="H647" t="inlineStr">
        <is>
          <t>Cloud Hosting</t>
        </is>
      </c>
      <c r="I647" t="inlineStr">
        <is>
          <t>Services</t>
        </is>
      </c>
      <c r="J647">
        <f>193.32</f>
        <v/>
      </c>
    </row>
    <row r="648">
      <c r="B648" t="inlineStr">
        <is>
          <t>04/03/2025</t>
        </is>
      </c>
      <c r="C648" t="inlineStr">
        <is>
          <t>Credit Card Charge</t>
        </is>
      </c>
      <c r="D648" t="inlineStr"/>
      <c r="E648" t="inlineStr">
        <is>
          <t>Contoso Cloud</t>
        </is>
      </c>
      <c r="F648" t="inlineStr">
        <is>
          <t>Contoso Cloud 2025-04</t>
        </is>
      </c>
      <c r="G648" t="inlineStr">
        <is>
          <t>2100</t>
        </is>
      </c>
      <c r="H648" t="inlineStr">
        <is>
          <t>Vantage Card 3391</t>
        </is>
      </c>
      <c r="I648" t="inlineStr">
        <is>
          <t>Services</t>
        </is>
      </c>
      <c r="K648">
        <f>193.32</f>
        <v/>
      </c>
    </row>
    <row r="649">
      <c r="A649" t="inlineStr">
        <is>
          <t>Total for T-00150</t>
        </is>
      </c>
      <c r="J649">
        <f>J647</f>
        <v/>
      </c>
      <c r="K649">
        <f>K648</f>
        <v/>
      </c>
    </row>
    <row r="650"/>
    <row r="651">
      <c r="A651" t="inlineStr">
        <is>
          <t>T-00127</t>
        </is>
      </c>
    </row>
    <row r="652">
      <c r="B652" t="inlineStr">
        <is>
          <t>04/04/2025</t>
        </is>
      </c>
      <c r="C652" t="inlineStr">
        <is>
          <t>Credit Card Charge</t>
        </is>
      </c>
      <c r="D652" t="inlineStr"/>
      <c r="E652" t="inlineStr">
        <is>
          <t>Contoso Cloud</t>
        </is>
      </c>
      <c r="F652" t="inlineStr">
        <is>
          <t>Cloud hosting 2025-04</t>
        </is>
      </c>
      <c r="G652" t="inlineStr">
        <is>
          <t>6300</t>
        </is>
      </c>
      <c r="H652" t="inlineStr">
        <is>
          <t>Cloud Hosting</t>
        </is>
      </c>
      <c r="I652" t="inlineStr">
        <is>
          <t>Services</t>
        </is>
      </c>
      <c r="J652">
        <f>2760.00</f>
        <v/>
      </c>
    </row>
    <row r="653">
      <c r="B653" t="inlineStr">
        <is>
          <t>04/04/2025</t>
        </is>
      </c>
      <c r="C653" t="inlineStr">
        <is>
          <t>Credit Card Charge</t>
        </is>
      </c>
      <c r="D653" t="inlineStr"/>
      <c r="E653" t="inlineStr">
        <is>
          <t>Contoso Cloud</t>
        </is>
      </c>
      <c r="F653" t="inlineStr">
        <is>
          <t>Cloud hosting 2025-04</t>
        </is>
      </c>
      <c r="G653" t="inlineStr">
        <is>
          <t>2100</t>
        </is>
      </c>
      <c r="H653" t="inlineStr">
        <is>
          <t>Vantage Card 3391</t>
        </is>
      </c>
      <c r="I653" t="inlineStr">
        <is>
          <t>Services</t>
        </is>
      </c>
      <c r="K653">
        <f>2760.00</f>
        <v/>
      </c>
    </row>
    <row r="654">
      <c r="A654" t="inlineStr">
        <is>
          <t>Total for T-00127</t>
        </is>
      </c>
      <c r="J654">
        <f>J652</f>
        <v/>
      </c>
      <c r="K654">
        <f>K653</f>
        <v/>
      </c>
    </row>
    <row r="655"/>
    <row r="656">
      <c r="A656" t="inlineStr">
        <is>
          <t>T-00167</t>
        </is>
      </c>
    </row>
    <row r="657">
      <c r="B657" t="inlineStr">
        <is>
          <t>04/04/2025</t>
        </is>
      </c>
      <c r="C657" t="inlineStr">
        <is>
          <t>Expense</t>
        </is>
      </c>
      <c r="D657" t="inlineStr"/>
      <c r="E657" t="inlineStr">
        <is>
          <t>Redwood Prototyping</t>
        </is>
      </c>
      <c r="F657" t="inlineStr">
        <is>
          <t>Redwood Prototyping invoice 89494</t>
        </is>
      </c>
      <c r="G657" t="inlineStr">
        <is>
          <t>6100</t>
        </is>
      </c>
      <c r="H657" t="inlineStr">
        <is>
          <t>Contract Engineering</t>
        </is>
      </c>
      <c r="I657" t="inlineStr">
        <is>
          <t>Product</t>
        </is>
      </c>
      <c r="J657">
        <f>587.81</f>
        <v/>
      </c>
    </row>
    <row r="658">
      <c r="B658" t="inlineStr">
        <is>
          <t>04/04/2025</t>
        </is>
      </c>
      <c r="C658" t="inlineStr">
        <is>
          <t>Expense</t>
        </is>
      </c>
      <c r="D658" t="inlineStr"/>
      <c r="E658" t="inlineStr">
        <is>
          <t>Redwood Prototyping</t>
        </is>
      </c>
      <c r="F658" t="inlineStr">
        <is>
          <t>Redwood Prototyping invoice 89494</t>
        </is>
      </c>
      <c r="G658" t="inlineStr">
        <is>
          <t>1010</t>
        </is>
      </c>
      <c r="H658" t="inlineStr">
        <is>
          <t>Northgate Checking 7742</t>
        </is>
      </c>
      <c r="I658" t="inlineStr">
        <is>
          <t>Product</t>
        </is>
      </c>
      <c r="K658">
        <f>587.81</f>
        <v/>
      </c>
    </row>
    <row r="659">
      <c r="A659" t="inlineStr">
        <is>
          <t>Total for T-00167</t>
        </is>
      </c>
      <c r="J659">
        <f>J657</f>
        <v/>
      </c>
      <c r="K659">
        <f>K658</f>
        <v/>
      </c>
    </row>
    <row r="660"/>
    <row r="661">
      <c r="A661" t="inlineStr">
        <is>
          <t>T-00129</t>
        </is>
      </c>
    </row>
    <row r="662">
      <c r="B662" t="inlineStr">
        <is>
          <t>04/05/2025</t>
        </is>
      </c>
      <c r="C662" t="inlineStr">
        <is>
          <t>Expense</t>
        </is>
      </c>
      <c r="D662" t="inlineStr"/>
      <c r="E662" t="inlineStr">
        <is>
          <t>Vantage Card</t>
        </is>
      </c>
      <c r="F662" t="inlineStr">
        <is>
          <t>Vantage card payment</t>
        </is>
      </c>
      <c r="G662" t="inlineStr">
        <is>
          <t>2100</t>
        </is>
      </c>
      <c r="H662" t="inlineStr">
        <is>
          <t>Vantage Card 3391</t>
        </is>
      </c>
      <c r="I662" t="inlineStr">
        <is>
          <t>Overhead</t>
        </is>
      </c>
      <c r="J662">
        <f>13126.90</f>
        <v/>
      </c>
    </row>
    <row r="663">
      <c r="B663" t="inlineStr">
        <is>
          <t>04/05/2025</t>
        </is>
      </c>
      <c r="C663" t="inlineStr">
        <is>
          <t>Expense</t>
        </is>
      </c>
      <c r="D663" t="inlineStr"/>
      <c r="E663" t="inlineStr">
        <is>
          <t>Vantage Card</t>
        </is>
      </c>
      <c r="F663" t="inlineStr">
        <is>
          <t>Vantage card payment</t>
        </is>
      </c>
      <c r="G663" t="inlineStr">
        <is>
          <t>1010</t>
        </is>
      </c>
      <c r="H663" t="inlineStr">
        <is>
          <t>Northgate Checking 7742</t>
        </is>
      </c>
      <c r="I663" t="inlineStr">
        <is>
          <t>Overhead</t>
        </is>
      </c>
      <c r="K663">
        <f>13126.90</f>
        <v/>
      </c>
    </row>
    <row r="664">
      <c r="A664" t="inlineStr">
        <is>
          <t>Total for T-00129</t>
        </is>
      </c>
      <c r="J664">
        <f>J662</f>
        <v/>
      </c>
      <c r="K664">
        <f>K663</f>
        <v/>
      </c>
    </row>
    <row r="665"/>
    <row r="666">
      <c r="A666" t="inlineStr">
        <is>
          <t>T-00130</t>
        </is>
      </c>
    </row>
    <row r="667">
      <c r="B667" t="inlineStr">
        <is>
          <t>04/05/2025</t>
        </is>
      </c>
      <c r="C667" t="inlineStr">
        <is>
          <t>Transfer</t>
        </is>
      </c>
      <c r="D667" t="inlineStr"/>
      <c r="E667" t="inlineStr"/>
      <c r="F667" t="inlineStr">
        <is>
          <t>Transfer to savings</t>
        </is>
      </c>
      <c r="G667" t="inlineStr">
        <is>
          <t>1020</t>
        </is>
      </c>
      <c r="H667" t="inlineStr">
        <is>
          <t>Northgate Savings 7809</t>
        </is>
      </c>
      <c r="I667" t="inlineStr">
        <is>
          <t>Overhead</t>
        </is>
      </c>
      <c r="J667">
        <f>5000.00</f>
        <v/>
      </c>
    </row>
    <row r="668">
      <c r="B668" t="inlineStr">
        <is>
          <t>04/05/2025</t>
        </is>
      </c>
      <c r="C668" t="inlineStr">
        <is>
          <t>Transfer</t>
        </is>
      </c>
      <c r="D668" t="inlineStr"/>
      <c r="E668" t="inlineStr"/>
      <c r="F668" t="inlineStr">
        <is>
          <t>Transfer to savings</t>
        </is>
      </c>
      <c r="G668" t="inlineStr">
        <is>
          <t>1010</t>
        </is>
      </c>
      <c r="H668" t="inlineStr">
        <is>
          <t>Northgate Checking 7742</t>
        </is>
      </c>
      <c r="I668" t="inlineStr">
        <is>
          <t>Overhead</t>
        </is>
      </c>
      <c r="K668">
        <f>5000.00</f>
        <v/>
      </c>
    </row>
    <row r="669">
      <c r="A669" t="inlineStr">
        <is>
          <t>Total for T-00130</t>
        </is>
      </c>
      <c r="J669">
        <f>J667</f>
        <v/>
      </c>
      <c r="K669">
        <f>K668</f>
        <v/>
      </c>
    </row>
    <row r="670"/>
    <row r="671">
      <c r="A671" t="inlineStr">
        <is>
          <t>T-00143</t>
        </is>
      </c>
    </row>
    <row r="672">
      <c r="B672" t="inlineStr">
        <is>
          <t>04/05/2025</t>
        </is>
      </c>
      <c r="C672" t="inlineStr">
        <is>
          <t>Expense</t>
        </is>
      </c>
      <c r="D672" t="inlineStr"/>
      <c r="E672" t="inlineStr">
        <is>
          <t>Redwood Prototyping</t>
        </is>
      </c>
      <c r="F672" t="inlineStr">
        <is>
          <t>Redwood Prototyping invoice 27132</t>
        </is>
      </c>
      <c r="G672" t="inlineStr">
        <is>
          <t>6100</t>
        </is>
      </c>
      <c r="H672" t="inlineStr">
        <is>
          <t>Contract Engineering</t>
        </is>
      </c>
      <c r="I672" t="inlineStr">
        <is>
          <t>Product</t>
        </is>
      </c>
      <c r="J672">
        <f>251.51</f>
        <v/>
      </c>
    </row>
    <row r="673">
      <c r="B673" t="inlineStr">
        <is>
          <t>04/05/2025</t>
        </is>
      </c>
      <c r="C673" t="inlineStr">
        <is>
          <t>Expense</t>
        </is>
      </c>
      <c r="D673" t="inlineStr"/>
      <c r="E673" t="inlineStr">
        <is>
          <t>Redwood Prototyping</t>
        </is>
      </c>
      <c r="F673" t="inlineStr">
        <is>
          <t>Redwood Prototyping invoice 27132</t>
        </is>
      </c>
      <c r="G673" t="inlineStr">
        <is>
          <t>1010</t>
        </is>
      </c>
      <c r="H673" t="inlineStr">
        <is>
          <t>Northgate Checking 7742</t>
        </is>
      </c>
      <c r="I673" t="inlineStr">
        <is>
          <t>Product</t>
        </is>
      </c>
      <c r="K673">
        <f>251.51</f>
        <v/>
      </c>
    </row>
    <row r="674">
      <c r="A674" t="inlineStr">
        <is>
          <t>Total for T-00143</t>
        </is>
      </c>
      <c r="J674">
        <f>J672</f>
        <v/>
      </c>
      <c r="K674">
        <f>K673</f>
        <v/>
      </c>
    </row>
    <row r="675"/>
    <row r="676">
      <c r="A676" t="inlineStr">
        <is>
          <t>T-00157</t>
        </is>
      </c>
    </row>
    <row r="677">
      <c r="B677" t="inlineStr">
        <is>
          <t>04/05/2025</t>
        </is>
      </c>
      <c r="C677" t="inlineStr">
        <is>
          <t>Expense</t>
        </is>
      </c>
      <c r="D677" t="inlineStr"/>
      <c r="E677" t="inlineStr">
        <is>
          <t>Redwood Prototyping</t>
        </is>
      </c>
      <c r="F677" t="inlineStr">
        <is>
          <t>Redwood Prototyping invoice 50341</t>
        </is>
      </c>
      <c r="G677" t="inlineStr">
        <is>
          <t>6100</t>
        </is>
      </c>
      <c r="H677" t="inlineStr">
        <is>
          <t>Contract Engineering</t>
        </is>
      </c>
      <c r="I677" t="inlineStr">
        <is>
          <t>Product</t>
        </is>
      </c>
      <c r="J677">
        <f>791.70</f>
        <v/>
      </c>
    </row>
    <row r="678">
      <c r="B678" t="inlineStr">
        <is>
          <t>04/05/2025</t>
        </is>
      </c>
      <c r="C678" t="inlineStr">
        <is>
          <t>Expense</t>
        </is>
      </c>
      <c r="D678" t="inlineStr"/>
      <c r="E678" t="inlineStr">
        <is>
          <t>Redwood Prototyping</t>
        </is>
      </c>
      <c r="F678" t="inlineStr">
        <is>
          <t>Redwood Prototyping invoice 50341</t>
        </is>
      </c>
      <c r="G678" t="inlineStr">
        <is>
          <t>1010</t>
        </is>
      </c>
      <c r="H678" t="inlineStr">
        <is>
          <t>Northgate Checking 7742</t>
        </is>
      </c>
      <c r="I678" t="inlineStr">
        <is>
          <t>Product</t>
        </is>
      </c>
      <c r="K678">
        <f>791.70</f>
        <v/>
      </c>
    </row>
    <row r="679">
      <c r="A679" t="inlineStr">
        <is>
          <t>Total for T-00157</t>
        </is>
      </c>
      <c r="J679">
        <f>J677</f>
        <v/>
      </c>
      <c r="K679">
        <f>K678</f>
        <v/>
      </c>
    </row>
    <row r="680"/>
    <row r="681">
      <c r="A681" t="inlineStr">
        <is>
          <t>T-00154</t>
        </is>
      </c>
    </row>
    <row r="682">
      <c r="B682" t="inlineStr">
        <is>
          <t>04/06/2025</t>
        </is>
      </c>
      <c r="C682" t="inlineStr">
        <is>
          <t>Credit Card Charge</t>
        </is>
      </c>
      <c r="D682" t="inlineStr"/>
      <c r="E682" t="inlineStr">
        <is>
          <t>Harbor Diner</t>
        </is>
      </c>
      <c r="F682" t="inlineStr">
        <is>
          <t>Harbor Diner 2025-04</t>
        </is>
      </c>
      <c r="G682" t="inlineStr">
        <is>
          <t>6900</t>
        </is>
      </c>
      <c r="H682" t="inlineStr">
        <is>
          <t>Travel and Meals</t>
        </is>
      </c>
      <c r="I682" t="inlineStr">
        <is>
          <t>Overhead</t>
        </is>
      </c>
      <c r="J682">
        <f>168.82</f>
        <v/>
      </c>
    </row>
    <row r="683">
      <c r="B683" t="inlineStr">
        <is>
          <t>04/06/2025</t>
        </is>
      </c>
      <c r="C683" t="inlineStr">
        <is>
          <t>Credit Card Charge</t>
        </is>
      </c>
      <c r="D683" t="inlineStr"/>
      <c r="E683" t="inlineStr">
        <is>
          <t>Harbor Diner</t>
        </is>
      </c>
      <c r="F683" t="inlineStr">
        <is>
          <t>Harbor Diner 2025-04</t>
        </is>
      </c>
      <c r="G683" t="inlineStr">
        <is>
          <t>2100</t>
        </is>
      </c>
      <c r="H683" t="inlineStr">
        <is>
          <t>Vantage Card 3391</t>
        </is>
      </c>
      <c r="I683" t="inlineStr">
        <is>
          <t>Overhead</t>
        </is>
      </c>
      <c r="K683">
        <f>168.82</f>
        <v/>
      </c>
    </row>
    <row r="684">
      <c r="A684" t="inlineStr">
        <is>
          <t>Total for T-00154</t>
        </is>
      </c>
      <c r="J684">
        <f>J682</f>
        <v/>
      </c>
      <c r="K684">
        <f>K683</f>
        <v/>
      </c>
    </row>
    <row r="685"/>
    <row r="686">
      <c r="A686" t="inlineStr">
        <is>
          <t>T-00161</t>
        </is>
      </c>
    </row>
    <row r="687">
      <c r="B687" t="inlineStr">
        <is>
          <t>04/06/2025</t>
        </is>
      </c>
      <c r="C687" t="inlineStr">
        <is>
          <t>Credit Card Charge</t>
        </is>
      </c>
      <c r="D687" t="inlineStr"/>
      <c r="E687" t="inlineStr">
        <is>
          <t>Metro Rideshare</t>
        </is>
      </c>
      <c r="F687" t="inlineStr">
        <is>
          <t>Metro Rideshare 2025-04</t>
        </is>
      </c>
      <c r="G687" t="inlineStr">
        <is>
          <t>6900</t>
        </is>
      </c>
      <c r="H687" t="inlineStr">
        <is>
          <t>Travel and Meals</t>
        </is>
      </c>
      <c r="I687" t="inlineStr">
        <is>
          <t>Overhead</t>
        </is>
      </c>
      <c r="J687">
        <f>73.67</f>
        <v/>
      </c>
    </row>
    <row r="688">
      <c r="B688" t="inlineStr">
        <is>
          <t>04/06/2025</t>
        </is>
      </c>
      <c r="C688" t="inlineStr">
        <is>
          <t>Credit Card Charge</t>
        </is>
      </c>
      <c r="D688" t="inlineStr"/>
      <c r="E688" t="inlineStr">
        <is>
          <t>Metro Rideshare</t>
        </is>
      </c>
      <c r="F688" t="inlineStr">
        <is>
          <t>Metro Rideshare 2025-04</t>
        </is>
      </c>
      <c r="G688" t="inlineStr">
        <is>
          <t>2100</t>
        </is>
      </c>
      <c r="H688" t="inlineStr">
        <is>
          <t>Vantage Card 3391</t>
        </is>
      </c>
      <c r="I688" t="inlineStr">
        <is>
          <t>Overhead</t>
        </is>
      </c>
      <c r="K688">
        <f>73.67</f>
        <v/>
      </c>
    </row>
    <row r="689">
      <c r="A689" t="inlineStr">
        <is>
          <t>Total for T-00161</t>
        </is>
      </c>
      <c r="J689">
        <f>J687</f>
        <v/>
      </c>
      <c r="K689">
        <f>K688</f>
        <v/>
      </c>
    </row>
    <row r="690"/>
    <row r="691">
      <c r="A691" t="inlineStr">
        <is>
          <t>T-00144</t>
        </is>
      </c>
    </row>
    <row r="692">
      <c r="B692" t="inlineStr">
        <is>
          <t>04/07/2025</t>
        </is>
      </c>
      <c r="C692" t="inlineStr">
        <is>
          <t>Expense</t>
        </is>
      </c>
      <c r="D692" t="inlineStr"/>
      <c r="E692" t="inlineStr">
        <is>
          <t>Fabrikam Freight</t>
        </is>
      </c>
      <c r="F692" t="inlineStr">
        <is>
          <t>Fabrikam Freight invoice 33875</t>
        </is>
      </c>
      <c r="G692" t="inlineStr">
        <is>
          <t>5100</t>
        </is>
      </c>
      <c r="H692" t="inlineStr">
        <is>
          <t>Shipping and Freight</t>
        </is>
      </c>
      <c r="I692" t="inlineStr">
        <is>
          <t>Product</t>
        </is>
      </c>
      <c r="J692">
        <f>595.64</f>
        <v/>
      </c>
    </row>
    <row r="693">
      <c r="B693" t="inlineStr">
        <is>
          <t>04/07/2025</t>
        </is>
      </c>
      <c r="C693" t="inlineStr">
        <is>
          <t>Expense</t>
        </is>
      </c>
      <c r="D693" t="inlineStr"/>
      <c r="E693" t="inlineStr">
        <is>
          <t>Fabrikam Freight</t>
        </is>
      </c>
      <c r="F693" t="inlineStr">
        <is>
          <t>Fabrikam Freight invoice 33875</t>
        </is>
      </c>
      <c r="G693" t="inlineStr">
        <is>
          <t>1010</t>
        </is>
      </c>
      <c r="H693" t="inlineStr">
        <is>
          <t>Northgate Checking 7742</t>
        </is>
      </c>
      <c r="I693" t="inlineStr">
        <is>
          <t>Product</t>
        </is>
      </c>
      <c r="K693">
        <f>595.64</f>
        <v/>
      </c>
    </row>
    <row r="694">
      <c r="A694" t="inlineStr">
        <is>
          <t>Total for T-00144</t>
        </is>
      </c>
      <c r="J694">
        <f>J692</f>
        <v/>
      </c>
      <c r="K694">
        <f>K693</f>
        <v/>
      </c>
    </row>
    <row r="695"/>
    <row r="696">
      <c r="A696" t="inlineStr">
        <is>
          <t>T-00158</t>
        </is>
      </c>
    </row>
    <row r="697">
      <c r="B697" t="inlineStr">
        <is>
          <t>04/07/2025</t>
        </is>
      </c>
      <c r="C697" t="inlineStr">
        <is>
          <t>Credit Card Charge</t>
        </is>
      </c>
      <c r="D697" t="inlineStr"/>
      <c r="E697" t="inlineStr">
        <is>
          <t>Skyward Air</t>
        </is>
      </c>
      <c r="F697" t="inlineStr">
        <is>
          <t>Skyward Air 2025-04</t>
        </is>
      </c>
      <c r="G697" t="inlineStr">
        <is>
          <t>6900</t>
        </is>
      </c>
      <c r="H697" t="inlineStr">
        <is>
          <t>Travel and Meals</t>
        </is>
      </c>
      <c r="I697" t="inlineStr">
        <is>
          <t>Overhead</t>
        </is>
      </c>
      <c r="J697">
        <f>537.26</f>
        <v/>
      </c>
    </row>
    <row r="698">
      <c r="B698" t="inlineStr">
        <is>
          <t>04/07/2025</t>
        </is>
      </c>
      <c r="C698" t="inlineStr">
        <is>
          <t>Credit Card Charge</t>
        </is>
      </c>
      <c r="D698" t="inlineStr"/>
      <c r="E698" t="inlineStr">
        <is>
          <t>Skyward Air</t>
        </is>
      </c>
      <c r="F698" t="inlineStr">
        <is>
          <t>Skyward Air 2025-04</t>
        </is>
      </c>
      <c r="G698" t="inlineStr">
        <is>
          <t>2100</t>
        </is>
      </c>
      <c r="H698" t="inlineStr">
        <is>
          <t>Vantage Card 3391</t>
        </is>
      </c>
      <c r="I698" t="inlineStr">
        <is>
          <t>Overhead</t>
        </is>
      </c>
      <c r="K698">
        <f>537.26</f>
        <v/>
      </c>
    </row>
    <row r="699">
      <c r="A699" t="inlineStr">
        <is>
          <t>Total for T-00158</t>
        </is>
      </c>
      <c r="J699">
        <f>J697</f>
        <v/>
      </c>
      <c r="K699">
        <f>K698</f>
        <v/>
      </c>
    </row>
    <row r="700"/>
    <row r="701">
      <c r="A701" t="inlineStr">
        <is>
          <t>T-00147</t>
        </is>
      </c>
    </row>
    <row r="702">
      <c r="B702" t="inlineStr">
        <is>
          <t>04/08/2025</t>
        </is>
      </c>
      <c r="C702" t="inlineStr">
        <is>
          <t>Expense</t>
        </is>
      </c>
      <c r="D702" t="inlineStr"/>
      <c r="E702" t="inlineStr">
        <is>
          <t>Fabrikam Freight</t>
        </is>
      </c>
      <c r="F702" t="inlineStr">
        <is>
          <t>Fabrikam Freight invoice 54080</t>
        </is>
      </c>
      <c r="G702" t="inlineStr">
        <is>
          <t>5100</t>
        </is>
      </c>
      <c r="H702" t="inlineStr">
        <is>
          <t>Shipping and Freight</t>
        </is>
      </c>
      <c r="I702" t="inlineStr">
        <is>
          <t>Product</t>
        </is>
      </c>
      <c r="J702">
        <f>776.37</f>
        <v/>
      </c>
    </row>
    <row r="703">
      <c r="B703" t="inlineStr">
        <is>
          <t>04/08/2025</t>
        </is>
      </c>
      <c r="C703" t="inlineStr">
        <is>
          <t>Expense</t>
        </is>
      </c>
      <c r="D703" t="inlineStr"/>
      <c r="E703" t="inlineStr">
        <is>
          <t>Fabrikam Freight</t>
        </is>
      </c>
      <c r="F703" t="inlineStr">
        <is>
          <t>Fabrikam Freight invoice 54080</t>
        </is>
      </c>
      <c r="G703" t="inlineStr">
        <is>
          <t>1010</t>
        </is>
      </c>
      <c r="H703" t="inlineStr">
        <is>
          <t>Northgate Checking 7742</t>
        </is>
      </c>
      <c r="I703" t="inlineStr">
        <is>
          <t>Product</t>
        </is>
      </c>
      <c r="K703">
        <f>776.37</f>
        <v/>
      </c>
    </row>
    <row r="704">
      <c r="A704" t="inlineStr">
        <is>
          <t>Total for T-00147</t>
        </is>
      </c>
      <c r="J704">
        <f>J702</f>
        <v/>
      </c>
      <c r="K704">
        <f>K703</f>
        <v/>
      </c>
    </row>
    <row r="705"/>
    <row r="706">
      <c r="A706" t="inlineStr">
        <is>
          <t>T-00156</t>
        </is>
      </c>
    </row>
    <row r="707">
      <c r="B707" t="inlineStr">
        <is>
          <t>04/08/2025</t>
        </is>
      </c>
      <c r="C707" t="inlineStr">
        <is>
          <t>Expense</t>
        </is>
      </c>
      <c r="D707" t="inlineStr"/>
      <c r="E707" t="inlineStr">
        <is>
          <t>Fabrikam Freight</t>
        </is>
      </c>
      <c r="F707" t="inlineStr">
        <is>
          <t>Fabrikam Freight invoice 73530</t>
        </is>
      </c>
      <c r="G707" t="inlineStr">
        <is>
          <t>5100</t>
        </is>
      </c>
      <c r="H707" t="inlineStr">
        <is>
          <t>Shipping and Freight</t>
        </is>
      </c>
      <c r="I707" t="inlineStr">
        <is>
          <t>Product</t>
        </is>
      </c>
      <c r="J707">
        <f>716.93</f>
        <v/>
      </c>
    </row>
    <row r="708">
      <c r="B708" t="inlineStr">
        <is>
          <t>04/08/2025</t>
        </is>
      </c>
      <c r="C708" t="inlineStr">
        <is>
          <t>Expense</t>
        </is>
      </c>
      <c r="D708" t="inlineStr"/>
      <c r="E708" t="inlineStr">
        <is>
          <t>Fabrikam Freight</t>
        </is>
      </c>
      <c r="F708" t="inlineStr">
        <is>
          <t>Fabrikam Freight invoice 73530</t>
        </is>
      </c>
      <c r="G708" t="inlineStr">
        <is>
          <t>1010</t>
        </is>
      </c>
      <c r="H708" t="inlineStr">
        <is>
          <t>Northgate Checking 7742</t>
        </is>
      </c>
      <c r="I708" t="inlineStr">
        <is>
          <t>Product</t>
        </is>
      </c>
      <c r="K708">
        <f>716.93</f>
        <v/>
      </c>
    </row>
    <row r="709">
      <c r="A709" t="inlineStr">
        <is>
          <t>Total for T-00156</t>
        </is>
      </c>
      <c r="J709">
        <f>J707</f>
        <v/>
      </c>
      <c r="K709">
        <f>K708</f>
        <v/>
      </c>
    </row>
    <row r="710"/>
    <row r="711">
      <c r="A711" t="inlineStr">
        <is>
          <t>T-00163</t>
        </is>
      </c>
    </row>
    <row r="712">
      <c r="B712" t="inlineStr">
        <is>
          <t>04/08/2025</t>
        </is>
      </c>
      <c r="C712" t="inlineStr">
        <is>
          <t>Expense</t>
        </is>
      </c>
      <c r="D712" t="inlineStr"/>
      <c r="E712" t="inlineStr">
        <is>
          <t>Litware Legal</t>
        </is>
      </c>
      <c r="F712" t="inlineStr">
        <is>
          <t>Litware Legal invoice 86350</t>
        </is>
      </c>
      <c r="G712" t="inlineStr">
        <is>
          <t>6800</t>
        </is>
      </c>
      <c r="H712" t="inlineStr">
        <is>
          <t>Professional Fees</t>
        </is>
      </c>
      <c r="I712" t="inlineStr">
        <is>
          <t>Overhead</t>
        </is>
      </c>
      <c r="J712">
        <f>1679.17</f>
        <v/>
      </c>
    </row>
    <row r="713">
      <c r="B713" t="inlineStr">
        <is>
          <t>04/08/2025</t>
        </is>
      </c>
      <c r="C713" t="inlineStr">
        <is>
          <t>Expense</t>
        </is>
      </c>
      <c r="D713" t="inlineStr"/>
      <c r="E713" t="inlineStr">
        <is>
          <t>Litware Legal</t>
        </is>
      </c>
      <c r="F713" t="inlineStr">
        <is>
          <t>Litware Legal invoice 86350</t>
        </is>
      </c>
      <c r="G713" t="inlineStr">
        <is>
          <t>1010</t>
        </is>
      </c>
      <c r="H713" t="inlineStr">
        <is>
          <t>Northgate Checking 7742</t>
        </is>
      </c>
      <c r="I713" t="inlineStr">
        <is>
          <t>Overhead</t>
        </is>
      </c>
      <c r="K713">
        <f>1679.17</f>
        <v/>
      </c>
    </row>
    <row r="714">
      <c r="A714" t="inlineStr">
        <is>
          <t>Total for T-00163</t>
        </is>
      </c>
      <c r="J714">
        <f>J712</f>
        <v/>
      </c>
      <c r="K714">
        <f>K713</f>
        <v/>
      </c>
    </row>
    <row r="715"/>
    <row r="716">
      <c r="A716" t="inlineStr">
        <is>
          <t>T-00131</t>
        </is>
      </c>
    </row>
    <row r="717">
      <c r="B717" t="inlineStr">
        <is>
          <t>04/10/2025</t>
        </is>
      </c>
      <c r="C717" t="inlineStr">
        <is>
          <t>Invoice</t>
        </is>
      </c>
      <c r="D717" t="inlineStr">
        <is>
          <t>INV-1006</t>
        </is>
      </c>
      <c r="E717" t="inlineStr">
        <is>
          <t>Corvus Labs Inc</t>
        </is>
      </c>
      <c r="F717" t="inlineStr">
        <is>
          <t>INV-1006 robot cell</t>
        </is>
      </c>
      <c r="G717" t="inlineStr">
        <is>
          <t>1100</t>
        </is>
      </c>
      <c r="H717" t="inlineStr">
        <is>
          <t>Accounts Receivable</t>
        </is>
      </c>
      <c r="I717" t="inlineStr">
        <is>
          <t>Product</t>
        </is>
      </c>
      <c r="J717">
        <f>37063.32</f>
        <v/>
      </c>
    </row>
    <row r="718">
      <c r="B718" t="inlineStr">
        <is>
          <t>04/10/2025</t>
        </is>
      </c>
      <c r="C718" t="inlineStr">
        <is>
          <t>Invoice</t>
        </is>
      </c>
      <c r="D718" t="inlineStr">
        <is>
          <t>INV-1006</t>
        </is>
      </c>
      <c r="E718" t="inlineStr">
        <is>
          <t>Corvus Labs Inc</t>
        </is>
      </c>
      <c r="F718" t="inlineStr">
        <is>
          <t>INV-1006 robot cell</t>
        </is>
      </c>
      <c r="G718" t="inlineStr">
        <is>
          <t>4000</t>
        </is>
      </c>
      <c r="H718" t="inlineStr">
        <is>
          <t>Product Revenue</t>
        </is>
      </c>
      <c r="I718" t="inlineStr">
        <is>
          <t>Product</t>
        </is>
      </c>
      <c r="K718">
        <f>37063.32</f>
        <v/>
      </c>
    </row>
    <row r="719">
      <c r="A719" t="inlineStr">
        <is>
          <t>Total for T-00131</t>
        </is>
      </c>
      <c r="J719">
        <f>J717</f>
        <v/>
      </c>
      <c r="K719">
        <f>K718</f>
        <v/>
      </c>
    </row>
    <row r="720"/>
    <row r="721">
      <c r="A721" t="inlineStr">
        <is>
          <t>T-00132</t>
        </is>
      </c>
    </row>
    <row r="722">
      <c r="B722" t="inlineStr">
        <is>
          <t>04/10/2025</t>
        </is>
      </c>
      <c r="C722" t="inlineStr">
        <is>
          <t>Invoice</t>
        </is>
      </c>
      <c r="D722" t="inlineStr">
        <is>
          <t>INV-1007</t>
        </is>
      </c>
      <c r="E722" t="inlineStr">
        <is>
          <t>Corvus Labs Inc</t>
        </is>
      </c>
      <c r="F722" t="inlineStr">
        <is>
          <t>INV-1007 support plan</t>
        </is>
      </c>
      <c r="G722" t="inlineStr">
        <is>
          <t>1100</t>
        </is>
      </c>
      <c r="H722" t="inlineStr">
        <is>
          <t>Accounts Receivable</t>
        </is>
      </c>
      <c r="I722" t="inlineStr">
        <is>
          <t>Services</t>
        </is>
      </c>
      <c r="J722">
        <f>7250.00</f>
        <v/>
      </c>
    </row>
    <row r="723">
      <c r="B723" t="inlineStr">
        <is>
          <t>04/10/2025</t>
        </is>
      </c>
      <c r="C723" t="inlineStr">
        <is>
          <t>Invoice</t>
        </is>
      </c>
      <c r="D723" t="inlineStr">
        <is>
          <t>INV-1007</t>
        </is>
      </c>
      <c r="E723" t="inlineStr">
        <is>
          <t>Corvus Labs Inc</t>
        </is>
      </c>
      <c r="F723" t="inlineStr">
        <is>
          <t>INV-1007 support plan</t>
        </is>
      </c>
      <c r="G723" t="inlineStr">
        <is>
          <t>4100</t>
        </is>
      </c>
      <c r="H723" t="inlineStr">
        <is>
          <t>Service Revenue</t>
        </is>
      </c>
      <c r="I723" t="inlineStr">
        <is>
          <t>Services</t>
        </is>
      </c>
      <c r="K723">
        <f>7250.00</f>
        <v/>
      </c>
    </row>
    <row r="724">
      <c r="A724" t="inlineStr">
        <is>
          <t>Total for T-00132</t>
        </is>
      </c>
      <c r="J724">
        <f>J722</f>
        <v/>
      </c>
      <c r="K724">
        <f>K723</f>
        <v/>
      </c>
    </row>
    <row r="725"/>
    <row r="726">
      <c r="A726" t="inlineStr">
        <is>
          <t>T-00133</t>
        </is>
      </c>
    </row>
    <row r="727">
      <c r="B727" t="inlineStr">
        <is>
          <t>04/10/2025</t>
        </is>
      </c>
      <c r="C727" t="inlineStr">
        <is>
          <t>Payment</t>
        </is>
      </c>
      <c r="D727" t="inlineStr"/>
      <c r="E727" t="inlineStr">
        <is>
          <t>Meridian Automation Co</t>
        </is>
      </c>
      <c r="F727" t="inlineStr">
        <is>
          <t>Payment on INV-1004</t>
        </is>
      </c>
      <c r="G727" t="inlineStr">
        <is>
          <t>1010</t>
        </is>
      </c>
      <c r="H727" t="inlineStr">
        <is>
          <t>Northgate Checking 7742</t>
        </is>
      </c>
      <c r="I727" t="inlineStr">
        <is>
          <t>Overhead</t>
        </is>
      </c>
      <c r="J727">
        <f>34853.19</f>
        <v/>
      </c>
    </row>
    <row r="728">
      <c r="B728" t="inlineStr">
        <is>
          <t>04/10/2025</t>
        </is>
      </c>
      <c r="C728" t="inlineStr">
        <is>
          <t>Payment</t>
        </is>
      </c>
      <c r="D728" t="inlineStr"/>
      <c r="E728" t="inlineStr">
        <is>
          <t>Meridian Automation Co</t>
        </is>
      </c>
      <c r="F728" t="inlineStr">
        <is>
          <t>Payment on INV-1004</t>
        </is>
      </c>
      <c r="G728" t="inlineStr">
        <is>
          <t>1100</t>
        </is>
      </c>
      <c r="H728" t="inlineStr">
        <is>
          <t>Accounts Receivable</t>
        </is>
      </c>
      <c r="I728" t="inlineStr">
        <is>
          <t>Overhead</t>
        </is>
      </c>
      <c r="K728">
        <f>34853.19</f>
        <v/>
      </c>
    </row>
    <row r="729">
      <c r="A729" t="inlineStr">
        <is>
          <t>Total for T-00133</t>
        </is>
      </c>
      <c r="J729">
        <f>J727</f>
        <v/>
      </c>
      <c r="K729">
        <f>K728</f>
        <v/>
      </c>
    </row>
    <row r="730"/>
    <row r="731">
      <c r="A731" t="inlineStr">
        <is>
          <t>T-00134</t>
        </is>
      </c>
    </row>
    <row r="732">
      <c r="B732" t="inlineStr">
        <is>
          <t>04/10/2025</t>
        </is>
      </c>
      <c r="C732" t="inlineStr">
        <is>
          <t>Payment</t>
        </is>
      </c>
      <c r="D732" t="inlineStr"/>
      <c r="E732" t="inlineStr">
        <is>
          <t>Meridian Automation Co</t>
        </is>
      </c>
      <c r="F732" t="inlineStr">
        <is>
          <t>Payment on INV-1005</t>
        </is>
      </c>
      <c r="G732" t="inlineStr">
        <is>
          <t>1010</t>
        </is>
      </c>
      <c r="H732" t="inlineStr">
        <is>
          <t>Northgate Checking 7742</t>
        </is>
      </c>
      <c r="I732" t="inlineStr">
        <is>
          <t>Overhead</t>
        </is>
      </c>
      <c r="J732">
        <f>7000.00</f>
        <v/>
      </c>
    </row>
    <row r="733">
      <c r="B733" t="inlineStr">
        <is>
          <t>04/10/2025</t>
        </is>
      </c>
      <c r="C733" t="inlineStr">
        <is>
          <t>Payment</t>
        </is>
      </c>
      <c r="D733" t="inlineStr"/>
      <c r="E733" t="inlineStr">
        <is>
          <t>Meridian Automation Co</t>
        </is>
      </c>
      <c r="F733" t="inlineStr">
        <is>
          <t>Payment on INV-1005</t>
        </is>
      </c>
      <c r="G733" t="inlineStr">
        <is>
          <t>1100</t>
        </is>
      </c>
      <c r="H733" t="inlineStr">
        <is>
          <t>Accounts Receivable</t>
        </is>
      </c>
      <c r="I733" t="inlineStr">
        <is>
          <t>Overhead</t>
        </is>
      </c>
      <c r="K733">
        <f>7000.00</f>
        <v/>
      </c>
    </row>
    <row r="734">
      <c r="A734" t="inlineStr">
        <is>
          <t>Total for T-00134</t>
        </is>
      </c>
      <c r="J734">
        <f>J732</f>
        <v/>
      </c>
      <c r="K734">
        <f>K733</f>
        <v/>
      </c>
    </row>
    <row r="735"/>
    <row r="736">
      <c r="A736" t="inlineStr">
        <is>
          <t>T-00145</t>
        </is>
      </c>
    </row>
    <row r="737">
      <c r="B737" t="inlineStr">
        <is>
          <t>04/11/2025</t>
        </is>
      </c>
      <c r="C737" t="inlineStr">
        <is>
          <t>Expense</t>
        </is>
      </c>
      <c r="D737" t="inlineStr"/>
      <c r="E737" t="inlineStr">
        <is>
          <t>Redwood Prototyping</t>
        </is>
      </c>
      <c r="F737" t="inlineStr">
        <is>
          <t>Redwood Prototyping invoice 57291</t>
        </is>
      </c>
      <c r="G737" t="inlineStr">
        <is>
          <t>6100</t>
        </is>
      </c>
      <c r="H737" t="inlineStr">
        <is>
          <t>Contract Engineering</t>
        </is>
      </c>
      <c r="I737" t="inlineStr">
        <is>
          <t>Product</t>
        </is>
      </c>
      <c r="J737">
        <f>947.59</f>
        <v/>
      </c>
    </row>
    <row r="738">
      <c r="B738" t="inlineStr">
        <is>
          <t>04/11/2025</t>
        </is>
      </c>
      <c r="C738" t="inlineStr">
        <is>
          <t>Expense</t>
        </is>
      </c>
      <c r="D738" t="inlineStr"/>
      <c r="E738" t="inlineStr">
        <is>
          <t>Redwood Prototyping</t>
        </is>
      </c>
      <c r="F738" t="inlineStr">
        <is>
          <t>Redwood Prototyping invoice 57291</t>
        </is>
      </c>
      <c r="G738" t="inlineStr">
        <is>
          <t>1010</t>
        </is>
      </c>
      <c r="H738" t="inlineStr">
        <is>
          <t>Northgate Checking 7742</t>
        </is>
      </c>
      <c r="I738" t="inlineStr">
        <is>
          <t>Product</t>
        </is>
      </c>
      <c r="K738">
        <f>947.59</f>
        <v/>
      </c>
    </row>
    <row r="739">
      <c r="A739" t="inlineStr">
        <is>
          <t>Total for T-00145</t>
        </is>
      </c>
      <c r="J739">
        <f>J737</f>
        <v/>
      </c>
      <c r="K739">
        <f>K738</f>
        <v/>
      </c>
    </row>
    <row r="740"/>
    <row r="741">
      <c r="A741" t="inlineStr">
        <is>
          <t>T-00152</t>
        </is>
      </c>
    </row>
    <row r="742">
      <c r="B742" t="inlineStr">
        <is>
          <t>04/11/2025</t>
        </is>
      </c>
      <c r="C742" t="inlineStr">
        <is>
          <t>Expense</t>
        </is>
      </c>
      <c r="D742" t="inlineStr"/>
      <c r="E742" t="inlineStr">
        <is>
          <t>Northwind Supply</t>
        </is>
      </c>
      <c r="F742" t="inlineStr">
        <is>
          <t>Northwind Supply invoice 50561</t>
        </is>
      </c>
      <c r="G742" t="inlineStr">
        <is>
          <t>5000</t>
        </is>
      </c>
      <c r="H742" t="inlineStr">
        <is>
          <t>Cost of Goods Sold - Components</t>
        </is>
      </c>
      <c r="I742" t="inlineStr">
        <is>
          <t>Product</t>
        </is>
      </c>
      <c r="J742">
        <f>996.10</f>
        <v/>
      </c>
    </row>
    <row r="743">
      <c r="B743" t="inlineStr">
        <is>
          <t>04/11/2025</t>
        </is>
      </c>
      <c r="C743" t="inlineStr">
        <is>
          <t>Expense</t>
        </is>
      </c>
      <c r="D743" t="inlineStr"/>
      <c r="E743" t="inlineStr">
        <is>
          <t>Northwind Supply</t>
        </is>
      </c>
      <c r="F743" t="inlineStr">
        <is>
          <t>Northwind Supply invoice 50561</t>
        </is>
      </c>
      <c r="G743" t="inlineStr">
        <is>
          <t>1010</t>
        </is>
      </c>
      <c r="H743" t="inlineStr">
        <is>
          <t>Northgate Checking 7742</t>
        </is>
      </c>
      <c r="I743" t="inlineStr">
        <is>
          <t>Product</t>
        </is>
      </c>
      <c r="K743">
        <f>996.10</f>
        <v/>
      </c>
    </row>
    <row r="744">
      <c r="A744" t="inlineStr">
        <is>
          <t>Total for T-00152</t>
        </is>
      </c>
      <c r="J744">
        <f>J742</f>
        <v/>
      </c>
      <c r="K744">
        <f>K743</f>
        <v/>
      </c>
    </row>
    <row r="745"/>
    <row r="746">
      <c r="A746" t="inlineStr">
        <is>
          <t>T-00135</t>
        </is>
      </c>
    </row>
    <row r="747">
      <c r="B747" t="inlineStr">
        <is>
          <t>04/12/2025</t>
        </is>
      </c>
      <c r="C747" t="inlineStr">
        <is>
          <t>Bill Payment</t>
        </is>
      </c>
      <c r="D747" t="inlineStr"/>
      <c r="E747" t="inlineStr">
        <is>
          <t>Northwind Supply</t>
        </is>
      </c>
      <c r="F747" t="inlineStr">
        <is>
          <t>Payment on NWS-4402</t>
        </is>
      </c>
      <c r="G747" t="inlineStr">
        <is>
          <t>2010</t>
        </is>
      </c>
      <c r="H747" t="inlineStr">
        <is>
          <t>Accounts Payable</t>
        </is>
      </c>
      <c r="I747" t="inlineStr">
        <is>
          <t>Product</t>
        </is>
      </c>
      <c r="J747">
        <f>9794.01</f>
        <v/>
      </c>
    </row>
    <row r="748">
      <c r="B748" t="inlineStr">
        <is>
          <t>04/12/2025</t>
        </is>
      </c>
      <c r="C748" t="inlineStr">
        <is>
          <t>Bill Payment</t>
        </is>
      </c>
      <c r="D748" t="inlineStr"/>
      <c r="E748" t="inlineStr">
        <is>
          <t>Northwind Supply</t>
        </is>
      </c>
      <c r="F748" t="inlineStr">
        <is>
          <t>Payment on NWS-4402</t>
        </is>
      </c>
      <c r="G748" t="inlineStr">
        <is>
          <t>1010</t>
        </is>
      </c>
      <c r="H748" t="inlineStr">
        <is>
          <t>Northgate Checking 7742</t>
        </is>
      </c>
      <c r="I748" t="inlineStr">
        <is>
          <t>Product</t>
        </is>
      </c>
      <c r="K748">
        <f>9794.01</f>
        <v/>
      </c>
    </row>
    <row r="749">
      <c r="A749" t="inlineStr">
        <is>
          <t>Total for T-00135</t>
        </is>
      </c>
      <c r="J749">
        <f>J747</f>
        <v/>
      </c>
      <c r="K749">
        <f>K748</f>
        <v/>
      </c>
    </row>
    <row r="750"/>
    <row r="751">
      <c r="A751" t="inlineStr">
        <is>
          <t>T-00159</t>
        </is>
      </c>
    </row>
    <row r="752">
      <c r="B752" t="inlineStr">
        <is>
          <t>04/12/2025</t>
        </is>
      </c>
      <c r="C752" t="inlineStr">
        <is>
          <t>Expense</t>
        </is>
      </c>
      <c r="D752" t="inlineStr"/>
      <c r="E752" t="inlineStr">
        <is>
          <t>Fabrikam Freight</t>
        </is>
      </c>
      <c r="F752" t="inlineStr">
        <is>
          <t>Fabrikam Freight invoice 74423</t>
        </is>
      </c>
      <c r="G752" t="inlineStr">
        <is>
          <t>5100</t>
        </is>
      </c>
      <c r="H752" t="inlineStr">
        <is>
          <t>Shipping and Freight</t>
        </is>
      </c>
      <c r="I752" t="inlineStr">
        <is>
          <t>Product</t>
        </is>
      </c>
      <c r="J752">
        <f>349.66</f>
        <v/>
      </c>
    </row>
    <row r="753">
      <c r="B753" t="inlineStr">
        <is>
          <t>04/12/2025</t>
        </is>
      </c>
      <c r="C753" t="inlineStr">
        <is>
          <t>Expense</t>
        </is>
      </c>
      <c r="D753" t="inlineStr"/>
      <c r="E753" t="inlineStr">
        <is>
          <t>Fabrikam Freight</t>
        </is>
      </c>
      <c r="F753" t="inlineStr">
        <is>
          <t>Fabrikam Freight invoice 74423</t>
        </is>
      </c>
      <c r="G753" t="inlineStr">
        <is>
          <t>1010</t>
        </is>
      </c>
      <c r="H753" t="inlineStr">
        <is>
          <t>Northgate Checking 7742</t>
        </is>
      </c>
      <c r="I753" t="inlineStr">
        <is>
          <t>Product</t>
        </is>
      </c>
      <c r="K753">
        <f>349.66</f>
        <v/>
      </c>
    </row>
    <row r="754">
      <c r="A754" t="inlineStr">
        <is>
          <t>Total for T-00159</t>
        </is>
      </c>
      <c r="J754">
        <f>J752</f>
        <v/>
      </c>
      <c r="K754">
        <f>K753</f>
        <v/>
      </c>
    </row>
    <row r="755"/>
    <row r="756">
      <c r="A756" t="inlineStr">
        <is>
          <t>T-00162</t>
        </is>
      </c>
    </row>
    <row r="757">
      <c r="B757" t="inlineStr">
        <is>
          <t>04/12/2025</t>
        </is>
      </c>
      <c r="C757" t="inlineStr">
        <is>
          <t>Expense</t>
        </is>
      </c>
      <c r="D757" t="inlineStr"/>
      <c r="E757" t="inlineStr">
        <is>
          <t>Quartz CAD Services</t>
        </is>
      </c>
      <c r="F757" t="inlineStr">
        <is>
          <t>Quartz CAD Services invoice 60808</t>
        </is>
      </c>
      <c r="G757" t="inlineStr">
        <is>
          <t>6100</t>
        </is>
      </c>
      <c r="H757" t="inlineStr">
        <is>
          <t>Contract Engineering</t>
        </is>
      </c>
      <c r="I757" t="inlineStr">
        <is>
          <t>Product</t>
        </is>
      </c>
      <c r="J757">
        <f>510.07</f>
        <v/>
      </c>
    </row>
    <row r="758">
      <c r="B758" t="inlineStr">
        <is>
          <t>04/12/2025</t>
        </is>
      </c>
      <c r="C758" t="inlineStr">
        <is>
          <t>Expense</t>
        </is>
      </c>
      <c r="D758" t="inlineStr"/>
      <c r="E758" t="inlineStr">
        <is>
          <t>Quartz CAD Services</t>
        </is>
      </c>
      <c r="F758" t="inlineStr">
        <is>
          <t>Quartz CAD Services invoice 60808</t>
        </is>
      </c>
      <c r="G758" t="inlineStr">
        <is>
          <t>1010</t>
        </is>
      </c>
      <c r="H758" t="inlineStr">
        <is>
          <t>Northgate Checking 7742</t>
        </is>
      </c>
      <c r="I758" t="inlineStr">
        <is>
          <t>Product</t>
        </is>
      </c>
      <c r="K758">
        <f>510.07</f>
        <v/>
      </c>
    </row>
    <row r="759">
      <c r="A759" t="inlineStr">
        <is>
          <t>Total for T-00162</t>
        </is>
      </c>
      <c r="J759">
        <f>J757</f>
        <v/>
      </c>
      <c r="K759">
        <f>K758</f>
        <v/>
      </c>
    </row>
    <row r="760"/>
    <row r="761">
      <c r="A761" t="inlineStr">
        <is>
          <t>T-00168</t>
        </is>
      </c>
    </row>
    <row r="762">
      <c r="B762" t="inlineStr">
        <is>
          <t>04/14/2025</t>
        </is>
      </c>
      <c r="C762" t="inlineStr">
        <is>
          <t>Credit Card Charge</t>
        </is>
      </c>
      <c r="D762" t="inlineStr"/>
      <c r="E762" t="inlineStr">
        <is>
          <t>Tailspin Tools</t>
        </is>
      </c>
      <c r="F762" t="inlineStr">
        <is>
          <t>Tailspin Tools 2025-04</t>
        </is>
      </c>
      <c r="G762" t="inlineStr">
        <is>
          <t>6200</t>
        </is>
      </c>
      <c r="H762" t="inlineStr">
        <is>
          <t>Software Subscriptions</t>
        </is>
      </c>
      <c r="I762" t="inlineStr">
        <is>
          <t>Overhead</t>
        </is>
      </c>
      <c r="J762">
        <f>101.02</f>
        <v/>
      </c>
    </row>
    <row r="763">
      <c r="B763" t="inlineStr">
        <is>
          <t>04/14/2025</t>
        </is>
      </c>
      <c r="C763" t="inlineStr">
        <is>
          <t>Credit Card Charge</t>
        </is>
      </c>
      <c r="D763" t="inlineStr"/>
      <c r="E763" t="inlineStr">
        <is>
          <t>Tailspin Tools</t>
        </is>
      </c>
      <c r="F763" t="inlineStr">
        <is>
          <t>Tailspin Tools 2025-04</t>
        </is>
      </c>
      <c r="G763" t="inlineStr">
        <is>
          <t>2100</t>
        </is>
      </c>
      <c r="H763" t="inlineStr">
        <is>
          <t>Vantage Card 3391</t>
        </is>
      </c>
      <c r="I763" t="inlineStr">
        <is>
          <t>Overhead</t>
        </is>
      </c>
      <c r="K763">
        <f>101.02</f>
        <v/>
      </c>
    </row>
    <row r="764">
      <c r="A764" t="inlineStr">
        <is>
          <t>Total for T-00168</t>
        </is>
      </c>
      <c r="J764">
        <f>J762</f>
        <v/>
      </c>
      <c r="K764">
        <f>K763</f>
        <v/>
      </c>
    </row>
    <row r="765"/>
    <row r="766">
      <c r="A766" t="inlineStr">
        <is>
          <t>T-00137</t>
        </is>
      </c>
    </row>
    <row r="767">
      <c r="B767" t="inlineStr">
        <is>
          <t>04/15/2025</t>
        </is>
      </c>
      <c r="C767" t="inlineStr">
        <is>
          <t>Expense</t>
        </is>
      </c>
      <c r="D767" t="inlineStr"/>
      <c r="E767" t="inlineStr">
        <is>
          <t>Proseware Payroll</t>
        </is>
      </c>
      <c r="F767" t="inlineStr">
        <is>
          <t>Payroll 2025-04-15 gross wages</t>
        </is>
      </c>
      <c r="G767" t="inlineStr">
        <is>
          <t>6000</t>
        </is>
      </c>
      <c r="H767" t="inlineStr">
        <is>
          <t>Salaries and Wages</t>
        </is>
      </c>
      <c r="I767" t="inlineStr">
        <is>
          <t>Overhead</t>
        </is>
      </c>
      <c r="J767">
        <f>20350.00</f>
        <v/>
      </c>
    </row>
    <row r="768">
      <c r="B768" t="inlineStr">
        <is>
          <t>04/15/2025</t>
        </is>
      </c>
      <c r="C768" t="inlineStr">
        <is>
          <t>Expense</t>
        </is>
      </c>
      <c r="D768" t="inlineStr"/>
      <c r="E768" t="inlineStr">
        <is>
          <t>Proseware Payroll</t>
        </is>
      </c>
      <c r="F768" t="inlineStr">
        <is>
          <t>Payroll 2025-04-15 employer taxes</t>
        </is>
      </c>
      <c r="G768" t="inlineStr">
        <is>
          <t>6010</t>
        </is>
      </c>
      <c r="H768" t="inlineStr">
        <is>
          <t>Payroll Taxes</t>
        </is>
      </c>
      <c r="I768" t="inlineStr">
        <is>
          <t>Overhead</t>
        </is>
      </c>
      <c r="J768">
        <f>1556.78</f>
        <v/>
      </c>
    </row>
    <row r="769">
      <c r="B769" t="inlineStr">
        <is>
          <t>04/15/2025</t>
        </is>
      </c>
      <c r="C769" t="inlineStr">
        <is>
          <t>Expense</t>
        </is>
      </c>
      <c r="D769" t="inlineStr"/>
      <c r="E769" t="inlineStr">
        <is>
          <t>Proseware Payroll</t>
        </is>
      </c>
      <c r="F769" t="inlineStr">
        <is>
          <t>Proseware payroll debit 2025-04-15</t>
        </is>
      </c>
      <c r="G769" t="inlineStr">
        <is>
          <t>1010</t>
        </is>
      </c>
      <c r="H769" t="inlineStr">
        <is>
          <t>Northgate Checking 7742</t>
        </is>
      </c>
      <c r="I769" t="inlineStr">
        <is>
          <t>Overhead</t>
        </is>
      </c>
      <c r="K769">
        <f>21906.78</f>
        <v/>
      </c>
    </row>
    <row r="770">
      <c r="A770" t="inlineStr">
        <is>
          <t>Total for T-00137</t>
        </is>
      </c>
      <c r="J770">
        <f>J767+J768</f>
        <v/>
      </c>
      <c r="K770">
        <f>K769</f>
        <v/>
      </c>
    </row>
    <row r="771"/>
    <row r="772">
      <c r="A772" t="inlineStr">
        <is>
          <t>T-00139</t>
        </is>
      </c>
    </row>
    <row r="773">
      <c r="B773" t="inlineStr">
        <is>
          <t>04/15/2025</t>
        </is>
      </c>
      <c r="C773" t="inlineStr">
        <is>
          <t>Deposit</t>
        </is>
      </c>
      <c r="D773" t="inlineStr"/>
      <c r="E773" t="inlineStr">
        <is>
          <t>Paylane</t>
        </is>
      </c>
      <c r="F773" t="inlineStr">
        <is>
          <t>Paylane payout 2025-04 #1</t>
        </is>
      </c>
      <c r="G773" t="inlineStr">
        <is>
          <t>1010</t>
        </is>
      </c>
      <c r="H773" t="inlineStr">
        <is>
          <t>Northgate Checking 7742</t>
        </is>
      </c>
      <c r="I773" t="inlineStr">
        <is>
          <t>Product</t>
        </is>
      </c>
      <c r="J773">
        <f>14908.69</f>
        <v/>
      </c>
    </row>
    <row r="774">
      <c r="B774" t="inlineStr">
        <is>
          <t>04/15/2025</t>
        </is>
      </c>
      <c r="C774" t="inlineStr">
        <is>
          <t>Deposit</t>
        </is>
      </c>
      <c r="D774" t="inlineStr"/>
      <c r="E774" t="inlineStr">
        <is>
          <t>Paylane</t>
        </is>
      </c>
      <c r="F774" t="inlineStr">
        <is>
          <t>Paylane payout 2025-04 #1</t>
        </is>
      </c>
      <c r="G774" t="inlineStr">
        <is>
          <t>1200</t>
        </is>
      </c>
      <c r="H774" t="inlineStr">
        <is>
          <t>Paylane Clearing</t>
        </is>
      </c>
      <c r="I774" t="inlineStr">
        <is>
          <t>Product</t>
        </is>
      </c>
      <c r="K774">
        <f>14908.69</f>
        <v/>
      </c>
    </row>
    <row r="775">
      <c r="A775" t="inlineStr">
        <is>
          <t>Total for T-00139</t>
        </is>
      </c>
      <c r="J775">
        <f>J773</f>
        <v/>
      </c>
      <c r="K775">
        <f>K774</f>
        <v/>
      </c>
    </row>
    <row r="776"/>
    <row r="777">
      <c r="A777" t="inlineStr">
        <is>
          <t>T-00149</t>
        </is>
      </c>
    </row>
    <row r="778">
      <c r="B778" t="inlineStr">
        <is>
          <t>04/15/2025</t>
        </is>
      </c>
      <c r="C778" t="inlineStr">
        <is>
          <t>Expense</t>
        </is>
      </c>
      <c r="D778" t="inlineStr"/>
      <c r="E778" t="inlineStr">
        <is>
          <t>Quartz CAD Services</t>
        </is>
      </c>
      <c r="F778" t="inlineStr">
        <is>
          <t>Quartz CAD Services invoice 16305</t>
        </is>
      </c>
      <c r="G778" t="inlineStr">
        <is>
          <t>6100</t>
        </is>
      </c>
      <c r="H778" t="inlineStr">
        <is>
          <t>Contract Engineering</t>
        </is>
      </c>
      <c r="I778" t="inlineStr">
        <is>
          <t>Product</t>
        </is>
      </c>
      <c r="J778">
        <f>875.65</f>
        <v/>
      </c>
    </row>
    <row r="779">
      <c r="B779" t="inlineStr">
        <is>
          <t>04/15/2025</t>
        </is>
      </c>
      <c r="C779" t="inlineStr">
        <is>
          <t>Expense</t>
        </is>
      </c>
      <c r="D779" t="inlineStr"/>
      <c r="E779" t="inlineStr">
        <is>
          <t>Quartz CAD Services</t>
        </is>
      </c>
      <c r="F779" t="inlineStr">
        <is>
          <t>Quartz CAD Services invoice 16305</t>
        </is>
      </c>
      <c r="G779" t="inlineStr">
        <is>
          <t>1010</t>
        </is>
      </c>
      <c r="H779" t="inlineStr">
        <is>
          <t>Northgate Checking 7742</t>
        </is>
      </c>
      <c r="I779" t="inlineStr">
        <is>
          <t>Product</t>
        </is>
      </c>
      <c r="K779">
        <f>875.65</f>
        <v/>
      </c>
    </row>
    <row r="780">
      <c r="A780" t="inlineStr">
        <is>
          <t>Total for T-00149</t>
        </is>
      </c>
      <c r="J780">
        <f>J778</f>
        <v/>
      </c>
      <c r="K780">
        <f>K779</f>
        <v/>
      </c>
    </row>
    <row r="781"/>
    <row r="782">
      <c r="A782" t="inlineStr">
        <is>
          <t>T-00151</t>
        </is>
      </c>
    </row>
    <row r="783">
      <c r="B783" t="inlineStr">
        <is>
          <t>04/15/2025</t>
        </is>
      </c>
      <c r="C783" t="inlineStr">
        <is>
          <t>Expense</t>
        </is>
      </c>
      <c r="D783" t="inlineStr"/>
      <c r="E783" t="inlineStr">
        <is>
          <t>Fabrikam Freight</t>
        </is>
      </c>
      <c r="F783" t="inlineStr">
        <is>
          <t>Fabrikam Freight invoice 86611</t>
        </is>
      </c>
      <c r="G783" t="inlineStr">
        <is>
          <t>5100</t>
        </is>
      </c>
      <c r="H783" t="inlineStr">
        <is>
          <t>Shipping and Freight</t>
        </is>
      </c>
      <c r="I783" t="inlineStr">
        <is>
          <t>Product</t>
        </is>
      </c>
      <c r="J783">
        <f>456.84</f>
        <v/>
      </c>
    </row>
    <row r="784">
      <c r="B784" t="inlineStr">
        <is>
          <t>04/15/2025</t>
        </is>
      </c>
      <c r="C784" t="inlineStr">
        <is>
          <t>Expense</t>
        </is>
      </c>
      <c r="D784" t="inlineStr"/>
      <c r="E784" t="inlineStr">
        <is>
          <t>Fabrikam Freight</t>
        </is>
      </c>
      <c r="F784" t="inlineStr">
        <is>
          <t>Fabrikam Freight invoice 86611</t>
        </is>
      </c>
      <c r="G784" t="inlineStr">
        <is>
          <t>1010</t>
        </is>
      </c>
      <c r="H784" t="inlineStr">
        <is>
          <t>Northgate Checking 7742</t>
        </is>
      </c>
      <c r="I784" t="inlineStr">
        <is>
          <t>Product</t>
        </is>
      </c>
      <c r="K784">
        <f>456.84</f>
        <v/>
      </c>
    </row>
    <row r="785">
      <c r="A785" t="inlineStr">
        <is>
          <t>Total for T-00151</t>
        </is>
      </c>
      <c r="J785">
        <f>J783</f>
        <v/>
      </c>
      <c r="K785">
        <f>K784</f>
        <v/>
      </c>
    </row>
    <row r="786"/>
    <row r="787">
      <c r="A787" t="inlineStr">
        <is>
          <t>T-00164</t>
        </is>
      </c>
    </row>
    <row r="788">
      <c r="B788" t="inlineStr">
        <is>
          <t>04/15/2025</t>
        </is>
      </c>
      <c r="C788" t="inlineStr">
        <is>
          <t>Expense</t>
        </is>
      </c>
      <c r="D788" t="inlineStr"/>
      <c r="E788" t="inlineStr">
        <is>
          <t>Bluepeak Engineering</t>
        </is>
      </c>
      <c r="F788" t="inlineStr">
        <is>
          <t>Bluepeak Engineering invoice 26194</t>
        </is>
      </c>
      <c r="G788" t="inlineStr">
        <is>
          <t>6100</t>
        </is>
      </c>
      <c r="H788" t="inlineStr">
        <is>
          <t>Contract Engineering</t>
        </is>
      </c>
      <c r="I788" t="inlineStr">
        <is>
          <t>Product</t>
        </is>
      </c>
      <c r="J788">
        <f>1687.14</f>
        <v/>
      </c>
    </row>
    <row r="789">
      <c r="B789" t="inlineStr">
        <is>
          <t>04/15/2025</t>
        </is>
      </c>
      <c r="C789" t="inlineStr">
        <is>
          <t>Expense</t>
        </is>
      </c>
      <c r="D789" t="inlineStr"/>
      <c r="E789" t="inlineStr">
        <is>
          <t>Bluepeak Engineering</t>
        </is>
      </c>
      <c r="F789" t="inlineStr">
        <is>
          <t>Bluepeak Engineering invoice 26194</t>
        </is>
      </c>
      <c r="G789" t="inlineStr">
        <is>
          <t>1010</t>
        </is>
      </c>
      <c r="H789" t="inlineStr">
        <is>
          <t>Northgate Checking 7742</t>
        </is>
      </c>
      <c r="I789" t="inlineStr">
        <is>
          <t>Product</t>
        </is>
      </c>
      <c r="K789">
        <f>1687.14</f>
        <v/>
      </c>
    </row>
    <row r="790">
      <c r="A790" t="inlineStr">
        <is>
          <t>Total for T-00164</t>
        </is>
      </c>
      <c r="J790">
        <f>J788</f>
        <v/>
      </c>
      <c r="K790">
        <f>K789</f>
        <v/>
      </c>
    </row>
    <row r="791"/>
    <row r="792">
      <c r="A792" t="inlineStr">
        <is>
          <t>T-00142</t>
        </is>
      </c>
    </row>
    <row r="793">
      <c r="B793" t="inlineStr">
        <is>
          <t>04/18/2025</t>
        </is>
      </c>
      <c r="C793" t="inlineStr">
        <is>
          <t>Expense</t>
        </is>
      </c>
      <c r="D793" t="inlineStr"/>
      <c r="E793" t="inlineStr">
        <is>
          <t>Trey Research</t>
        </is>
      </c>
      <c r="F793" t="inlineStr">
        <is>
          <t>Trey Research monthly engagement</t>
        </is>
      </c>
      <c r="G793" t="inlineStr">
        <is>
          <t>6800</t>
        </is>
      </c>
      <c r="H793" t="inlineStr">
        <is>
          <t>Professional Fees</t>
        </is>
      </c>
      <c r="I793" t="inlineStr">
        <is>
          <t>Overhead</t>
        </is>
      </c>
      <c r="J793">
        <f>5503.65</f>
        <v/>
      </c>
    </row>
    <row r="794">
      <c r="B794" t="inlineStr">
        <is>
          <t>04/18/2025</t>
        </is>
      </c>
      <c r="C794" t="inlineStr">
        <is>
          <t>Expense</t>
        </is>
      </c>
      <c r="D794" t="inlineStr"/>
      <c r="E794" t="inlineStr">
        <is>
          <t>Trey Research</t>
        </is>
      </c>
      <c r="F794" t="inlineStr">
        <is>
          <t>Trey Research monthly engagement</t>
        </is>
      </c>
      <c r="G794" t="inlineStr">
        <is>
          <t>1010</t>
        </is>
      </c>
      <c r="H794" t="inlineStr">
        <is>
          <t>Northgate Checking 7742</t>
        </is>
      </c>
      <c r="I794" t="inlineStr">
        <is>
          <t>Overhead</t>
        </is>
      </c>
      <c r="K794">
        <f>5503.65</f>
        <v/>
      </c>
    </row>
    <row r="795">
      <c r="A795" t="inlineStr">
        <is>
          <t>Total for T-00142</t>
        </is>
      </c>
      <c r="J795">
        <f>J793</f>
        <v/>
      </c>
      <c r="K795">
        <f>K794</f>
        <v/>
      </c>
    </row>
    <row r="796"/>
    <row r="797">
      <c r="A797" t="inlineStr">
        <is>
          <t>T-00165</t>
        </is>
      </c>
    </row>
    <row r="798">
      <c r="B798" t="inlineStr">
        <is>
          <t>04/18/2025</t>
        </is>
      </c>
      <c r="C798" t="inlineStr">
        <is>
          <t>Expense</t>
        </is>
      </c>
      <c r="D798" t="inlineStr"/>
      <c r="E798" t="inlineStr">
        <is>
          <t>Bluepeak Engineering</t>
        </is>
      </c>
      <c r="F798" t="inlineStr">
        <is>
          <t>Bluepeak Engineering invoice 66963</t>
        </is>
      </c>
      <c r="G798" t="inlineStr">
        <is>
          <t>6100</t>
        </is>
      </c>
      <c r="H798" t="inlineStr">
        <is>
          <t>Contract Engineering</t>
        </is>
      </c>
      <c r="I798" t="inlineStr">
        <is>
          <t>Product</t>
        </is>
      </c>
      <c r="J798">
        <f>1356.28</f>
        <v/>
      </c>
    </row>
    <row r="799">
      <c r="B799" t="inlineStr">
        <is>
          <t>04/18/2025</t>
        </is>
      </c>
      <c r="C799" t="inlineStr">
        <is>
          <t>Expense</t>
        </is>
      </c>
      <c r="D799" t="inlineStr"/>
      <c r="E799" t="inlineStr">
        <is>
          <t>Bluepeak Engineering</t>
        </is>
      </c>
      <c r="F799" t="inlineStr">
        <is>
          <t>Bluepeak Engineering invoice 66963</t>
        </is>
      </c>
      <c r="G799" t="inlineStr">
        <is>
          <t>1010</t>
        </is>
      </c>
      <c r="H799" t="inlineStr">
        <is>
          <t>Northgate Checking 7742</t>
        </is>
      </c>
      <c r="I799" t="inlineStr">
        <is>
          <t>Product</t>
        </is>
      </c>
      <c r="K799">
        <f>1356.28</f>
        <v/>
      </c>
    </row>
    <row r="800">
      <c r="A800" t="inlineStr">
        <is>
          <t>Total for T-00165</t>
        </is>
      </c>
      <c r="J800">
        <f>J798</f>
        <v/>
      </c>
      <c r="K800">
        <f>K799</f>
        <v/>
      </c>
    </row>
    <row r="801"/>
    <row r="802">
      <c r="A802" t="inlineStr">
        <is>
          <t>T-00136</t>
        </is>
      </c>
    </row>
    <row r="803">
      <c r="B803" t="inlineStr">
        <is>
          <t>04/20/2025</t>
        </is>
      </c>
      <c r="C803" t="inlineStr">
        <is>
          <t>Bill</t>
        </is>
      </c>
      <c r="D803" t="inlineStr">
        <is>
          <t>NWS-4403</t>
        </is>
      </c>
      <c r="E803" t="inlineStr">
        <is>
          <t>Northwind Supply</t>
        </is>
      </c>
      <c r="F803" t="inlineStr">
        <is>
          <t>NWS-4403 components</t>
        </is>
      </c>
      <c r="G803" t="inlineStr">
        <is>
          <t>5000</t>
        </is>
      </c>
      <c r="H803" t="inlineStr">
        <is>
          <t>Cost of Goods Sold - Components</t>
        </is>
      </c>
      <c r="I803" t="inlineStr">
        <is>
          <t>Product</t>
        </is>
      </c>
      <c r="J803">
        <f>10628.94</f>
        <v/>
      </c>
    </row>
    <row r="804">
      <c r="B804" t="inlineStr">
        <is>
          <t>04/20/2025</t>
        </is>
      </c>
      <c r="C804" t="inlineStr">
        <is>
          <t>Bill</t>
        </is>
      </c>
      <c r="D804" t="inlineStr">
        <is>
          <t>NWS-4403</t>
        </is>
      </c>
      <c r="E804" t="inlineStr">
        <is>
          <t>Northwind Supply</t>
        </is>
      </c>
      <c r="F804" t="inlineStr">
        <is>
          <t>NWS-4403 components</t>
        </is>
      </c>
      <c r="G804" t="inlineStr">
        <is>
          <t>2010</t>
        </is>
      </c>
      <c r="H804" t="inlineStr">
        <is>
          <t>Accounts Payable</t>
        </is>
      </c>
      <c r="I804" t="inlineStr">
        <is>
          <t>Product</t>
        </is>
      </c>
      <c r="K804">
        <f>10628.94</f>
        <v/>
      </c>
    </row>
    <row r="805">
      <c r="A805" t="inlineStr">
        <is>
          <t>Total for T-00136</t>
        </is>
      </c>
      <c r="J805">
        <f>J803</f>
        <v/>
      </c>
      <c r="K805">
        <f>K804</f>
        <v/>
      </c>
    </row>
    <row r="806"/>
    <row r="807">
      <c r="A807" t="inlineStr">
        <is>
          <t>T-00128</t>
        </is>
      </c>
    </row>
    <row r="808">
      <c r="B808" t="inlineStr">
        <is>
          <t>04/22/2025</t>
        </is>
      </c>
      <c r="C808" t="inlineStr">
        <is>
          <t>Credit Card Charge</t>
        </is>
      </c>
      <c r="D808" t="inlineStr"/>
      <c r="E808" t="inlineStr">
        <is>
          <t>Fabrikam Freight</t>
        </is>
      </c>
      <c r="F808" t="inlineStr">
        <is>
          <t>Outbound freight 2025-04</t>
        </is>
      </c>
      <c r="G808" t="inlineStr">
        <is>
          <t>5100</t>
        </is>
      </c>
      <c r="H808" t="inlineStr">
        <is>
          <t>Shipping and Freight</t>
        </is>
      </c>
      <c r="I808" t="inlineStr">
        <is>
          <t>Product</t>
        </is>
      </c>
      <c r="J808">
        <f>1846.03</f>
        <v/>
      </c>
    </row>
    <row r="809">
      <c r="B809" t="inlineStr">
        <is>
          <t>04/22/2025</t>
        </is>
      </c>
      <c r="C809" t="inlineStr">
        <is>
          <t>Credit Card Charge</t>
        </is>
      </c>
      <c r="D809" t="inlineStr"/>
      <c r="E809" t="inlineStr">
        <is>
          <t>Fabrikam Freight</t>
        </is>
      </c>
      <c r="F809" t="inlineStr">
        <is>
          <t>Outbound freight 2025-04</t>
        </is>
      </c>
      <c r="G809" t="inlineStr">
        <is>
          <t>2100</t>
        </is>
      </c>
      <c r="H809" t="inlineStr">
        <is>
          <t>Vantage Card 3391</t>
        </is>
      </c>
      <c r="I809" t="inlineStr">
        <is>
          <t>Product</t>
        </is>
      </c>
      <c r="K809">
        <f>1846.03</f>
        <v/>
      </c>
    </row>
    <row r="810">
      <c r="A810" t="inlineStr">
        <is>
          <t>Total for T-00128</t>
        </is>
      </c>
      <c r="J810">
        <f>J808</f>
        <v/>
      </c>
      <c r="K810">
        <f>K809</f>
        <v/>
      </c>
    </row>
    <row r="811"/>
    <row r="812">
      <c r="A812" t="inlineStr">
        <is>
          <t>T-00153</t>
        </is>
      </c>
    </row>
    <row r="813">
      <c r="B813" t="inlineStr">
        <is>
          <t>04/22/2025</t>
        </is>
      </c>
      <c r="C813" t="inlineStr">
        <is>
          <t>Expense</t>
        </is>
      </c>
      <c r="D813" t="inlineStr"/>
      <c r="E813" t="inlineStr">
        <is>
          <t>Northwind Supply</t>
        </is>
      </c>
      <c r="F813" t="inlineStr">
        <is>
          <t>Northwind Supply invoice 19564</t>
        </is>
      </c>
      <c r="G813" t="inlineStr">
        <is>
          <t>5000</t>
        </is>
      </c>
      <c r="H813" t="inlineStr">
        <is>
          <t>Cost of Goods Sold - Components</t>
        </is>
      </c>
      <c r="I813" t="inlineStr">
        <is>
          <t>Product</t>
        </is>
      </c>
      <c r="J813">
        <f>472.20</f>
        <v/>
      </c>
    </row>
    <row r="814">
      <c r="B814" t="inlineStr">
        <is>
          <t>04/22/2025</t>
        </is>
      </c>
      <c r="C814" t="inlineStr">
        <is>
          <t>Expense</t>
        </is>
      </c>
      <c r="D814" t="inlineStr"/>
      <c r="E814" t="inlineStr">
        <is>
          <t>Northwind Supply</t>
        </is>
      </c>
      <c r="F814" t="inlineStr">
        <is>
          <t>Northwind Supply invoice 19564</t>
        </is>
      </c>
      <c r="G814" t="inlineStr">
        <is>
          <t>1010</t>
        </is>
      </c>
      <c r="H814" t="inlineStr">
        <is>
          <t>Northgate Checking 7742</t>
        </is>
      </c>
      <c r="I814" t="inlineStr">
        <is>
          <t>Product</t>
        </is>
      </c>
      <c r="K814">
        <f>472.20</f>
        <v/>
      </c>
    </row>
    <row r="815">
      <c r="A815" t="inlineStr">
        <is>
          <t>Total for T-00153</t>
        </is>
      </c>
      <c r="J815">
        <f>J813</f>
        <v/>
      </c>
      <c r="K815">
        <f>K814</f>
        <v/>
      </c>
    </row>
    <row r="816"/>
    <row r="817">
      <c r="A817" t="inlineStr">
        <is>
          <t>T-00146</t>
        </is>
      </c>
    </row>
    <row r="818">
      <c r="B818" t="inlineStr">
        <is>
          <t>04/23/2025</t>
        </is>
      </c>
      <c r="C818" t="inlineStr">
        <is>
          <t>Expense</t>
        </is>
      </c>
      <c r="D818" t="inlineStr"/>
      <c r="E818" t="inlineStr">
        <is>
          <t>Northwind Supply</t>
        </is>
      </c>
      <c r="F818" t="inlineStr">
        <is>
          <t>Northwind Supply invoice 14717</t>
        </is>
      </c>
      <c r="G818" t="inlineStr">
        <is>
          <t>5000</t>
        </is>
      </c>
      <c r="H818" t="inlineStr">
        <is>
          <t>Cost of Goods Sold - Components</t>
        </is>
      </c>
      <c r="I818" t="inlineStr">
        <is>
          <t>Product</t>
        </is>
      </c>
      <c r="J818">
        <f>408.57</f>
        <v/>
      </c>
    </row>
    <row r="819">
      <c r="B819" t="inlineStr">
        <is>
          <t>04/23/2025</t>
        </is>
      </c>
      <c r="C819" t="inlineStr">
        <is>
          <t>Expense</t>
        </is>
      </c>
      <c r="D819" t="inlineStr"/>
      <c r="E819" t="inlineStr">
        <is>
          <t>Northwind Supply</t>
        </is>
      </c>
      <c r="F819" t="inlineStr">
        <is>
          <t>Northwind Supply invoice 14717</t>
        </is>
      </c>
      <c r="G819" t="inlineStr">
        <is>
          <t>1010</t>
        </is>
      </c>
      <c r="H819" t="inlineStr">
        <is>
          <t>Northgate Checking 7742</t>
        </is>
      </c>
      <c r="I819" t="inlineStr">
        <is>
          <t>Product</t>
        </is>
      </c>
      <c r="K819">
        <f>408.57</f>
        <v/>
      </c>
    </row>
    <row r="820">
      <c r="A820" t="inlineStr">
        <is>
          <t>Total for T-00146</t>
        </is>
      </c>
      <c r="J820">
        <f>J818</f>
        <v/>
      </c>
      <c r="K820">
        <f>K819</f>
        <v/>
      </c>
    </row>
    <row r="821"/>
    <row r="822">
      <c r="A822" t="inlineStr">
        <is>
          <t>T-00148</t>
        </is>
      </c>
    </row>
    <row r="823">
      <c r="B823" t="inlineStr">
        <is>
          <t>04/23/2025</t>
        </is>
      </c>
      <c r="C823" t="inlineStr">
        <is>
          <t>Expense</t>
        </is>
      </c>
      <c r="D823" t="inlineStr"/>
      <c r="E823" t="inlineStr">
        <is>
          <t>Fabrikam Freight</t>
        </is>
      </c>
      <c r="F823" t="inlineStr">
        <is>
          <t>Fabrikam Freight invoice 34818</t>
        </is>
      </c>
      <c r="G823" t="inlineStr">
        <is>
          <t>5100</t>
        </is>
      </c>
      <c r="H823" t="inlineStr">
        <is>
          <t>Shipping and Freight</t>
        </is>
      </c>
      <c r="I823" t="inlineStr">
        <is>
          <t>Product</t>
        </is>
      </c>
      <c r="J823">
        <f>585.02</f>
        <v/>
      </c>
    </row>
    <row r="824">
      <c r="B824" t="inlineStr">
        <is>
          <t>04/23/2025</t>
        </is>
      </c>
      <c r="C824" t="inlineStr">
        <is>
          <t>Expense</t>
        </is>
      </c>
      <c r="D824" t="inlineStr"/>
      <c r="E824" t="inlineStr">
        <is>
          <t>Fabrikam Freight</t>
        </is>
      </c>
      <c r="F824" t="inlineStr">
        <is>
          <t>Fabrikam Freight invoice 34818</t>
        </is>
      </c>
      <c r="G824" t="inlineStr">
        <is>
          <t>1010</t>
        </is>
      </c>
      <c r="H824" t="inlineStr">
        <is>
          <t>Northgate Checking 7742</t>
        </is>
      </c>
      <c r="I824" t="inlineStr">
        <is>
          <t>Product</t>
        </is>
      </c>
      <c r="K824">
        <f>585.02</f>
        <v/>
      </c>
    </row>
    <row r="825">
      <c r="A825" t="inlineStr">
        <is>
          <t>Total for T-00148</t>
        </is>
      </c>
      <c r="J825">
        <f>J823</f>
        <v/>
      </c>
      <c r="K825">
        <f>K824</f>
        <v/>
      </c>
    </row>
    <row r="826"/>
    <row r="827">
      <c r="A827" t="inlineStr">
        <is>
          <t>T-00160</t>
        </is>
      </c>
    </row>
    <row r="828">
      <c r="B828" t="inlineStr">
        <is>
          <t>04/26/2025</t>
        </is>
      </c>
      <c r="C828" t="inlineStr">
        <is>
          <t>Expense</t>
        </is>
      </c>
      <c r="D828" t="inlineStr"/>
      <c r="E828" t="inlineStr">
        <is>
          <t>Litware Legal</t>
        </is>
      </c>
      <c r="F828" t="inlineStr">
        <is>
          <t>Litware Legal invoice 44825</t>
        </is>
      </c>
      <c r="G828" t="inlineStr">
        <is>
          <t>6800</t>
        </is>
      </c>
      <c r="H828" t="inlineStr">
        <is>
          <t>Professional Fees</t>
        </is>
      </c>
      <c r="I828" t="inlineStr">
        <is>
          <t>Overhead</t>
        </is>
      </c>
      <c r="J828">
        <f>1093.26</f>
        <v/>
      </c>
    </row>
    <row r="829">
      <c r="B829" t="inlineStr">
        <is>
          <t>04/26/2025</t>
        </is>
      </c>
      <c r="C829" t="inlineStr">
        <is>
          <t>Expense</t>
        </is>
      </c>
      <c r="D829" t="inlineStr"/>
      <c r="E829" t="inlineStr">
        <is>
          <t>Litware Legal</t>
        </is>
      </c>
      <c r="F829" t="inlineStr">
        <is>
          <t>Litware Legal invoice 44825</t>
        </is>
      </c>
      <c r="G829" t="inlineStr">
        <is>
          <t>1010</t>
        </is>
      </c>
      <c r="H829" t="inlineStr">
        <is>
          <t>Northgate Checking 7742</t>
        </is>
      </c>
      <c r="I829" t="inlineStr">
        <is>
          <t>Overhead</t>
        </is>
      </c>
      <c r="K829">
        <f>1093.26</f>
        <v/>
      </c>
    </row>
    <row r="830">
      <c r="A830" t="inlineStr">
        <is>
          <t>Total for T-00160</t>
        </is>
      </c>
      <c r="J830">
        <f>J828</f>
        <v/>
      </c>
      <c r="K830">
        <f>K829</f>
        <v/>
      </c>
    </row>
    <row r="831"/>
    <row r="832">
      <c r="A832" t="inlineStr">
        <is>
          <t>T-00155</t>
        </is>
      </c>
    </row>
    <row r="833">
      <c r="B833" t="inlineStr">
        <is>
          <t>04/27/2025</t>
        </is>
      </c>
      <c r="C833" t="inlineStr">
        <is>
          <t>Expense</t>
        </is>
      </c>
      <c r="D833" t="inlineStr"/>
      <c r="E833" t="inlineStr">
        <is>
          <t>Quartz CAD Services</t>
        </is>
      </c>
      <c r="F833" t="inlineStr">
        <is>
          <t>Quartz CAD Services invoice 47424</t>
        </is>
      </c>
      <c r="G833" t="inlineStr">
        <is>
          <t>6100</t>
        </is>
      </c>
      <c r="H833" t="inlineStr">
        <is>
          <t>Contract Engineering</t>
        </is>
      </c>
      <c r="I833" t="inlineStr">
        <is>
          <t>Product</t>
        </is>
      </c>
      <c r="J833">
        <f>581.51</f>
        <v/>
      </c>
    </row>
    <row r="834">
      <c r="B834" t="inlineStr">
        <is>
          <t>04/27/2025</t>
        </is>
      </c>
      <c r="C834" t="inlineStr">
        <is>
          <t>Expense</t>
        </is>
      </c>
      <c r="D834" t="inlineStr"/>
      <c r="E834" t="inlineStr">
        <is>
          <t>Quartz CAD Services</t>
        </is>
      </c>
      <c r="F834" t="inlineStr">
        <is>
          <t>Quartz CAD Services invoice 47424</t>
        </is>
      </c>
      <c r="G834" t="inlineStr">
        <is>
          <t>1010</t>
        </is>
      </c>
      <c r="H834" t="inlineStr">
        <is>
          <t>Northgate Checking 7742</t>
        </is>
      </c>
      <c r="I834" t="inlineStr">
        <is>
          <t>Product</t>
        </is>
      </c>
      <c r="K834">
        <f>581.51</f>
        <v/>
      </c>
    </row>
    <row r="835">
      <c r="A835" t="inlineStr">
        <is>
          <t>Total for T-00155</t>
        </is>
      </c>
      <c r="J835">
        <f>J833</f>
        <v/>
      </c>
      <c r="K835">
        <f>K834</f>
        <v/>
      </c>
    </row>
    <row r="836"/>
    <row r="837">
      <c r="A837" t="inlineStr">
        <is>
          <t>T-00166</t>
        </is>
      </c>
    </row>
    <row r="838">
      <c r="B838" t="inlineStr">
        <is>
          <t>04/27/2025</t>
        </is>
      </c>
      <c r="C838" t="inlineStr">
        <is>
          <t>Expense</t>
        </is>
      </c>
      <c r="D838" t="inlineStr"/>
      <c r="E838" t="inlineStr">
        <is>
          <t>Redwood Prototyping</t>
        </is>
      </c>
      <c r="F838" t="inlineStr">
        <is>
          <t>Redwood Prototyping invoice 44597</t>
        </is>
      </c>
      <c r="G838" t="inlineStr">
        <is>
          <t>6100</t>
        </is>
      </c>
      <c r="H838" t="inlineStr">
        <is>
          <t>Contract Engineering</t>
        </is>
      </c>
      <c r="I838" t="inlineStr">
        <is>
          <t>Product</t>
        </is>
      </c>
      <c r="J838">
        <f>358.05</f>
        <v/>
      </c>
    </row>
    <row r="839">
      <c r="B839" t="inlineStr">
        <is>
          <t>04/27/2025</t>
        </is>
      </c>
      <c r="C839" t="inlineStr">
        <is>
          <t>Expense</t>
        </is>
      </c>
      <c r="D839" t="inlineStr"/>
      <c r="E839" t="inlineStr">
        <is>
          <t>Redwood Prototyping</t>
        </is>
      </c>
      <c r="F839" t="inlineStr">
        <is>
          <t>Redwood Prototyping invoice 44597</t>
        </is>
      </c>
      <c r="G839" t="inlineStr">
        <is>
          <t>1010</t>
        </is>
      </c>
      <c r="H839" t="inlineStr">
        <is>
          <t>Northgate Checking 7742</t>
        </is>
      </c>
      <c r="I839" t="inlineStr">
        <is>
          <t>Product</t>
        </is>
      </c>
      <c r="K839">
        <f>358.05</f>
        <v/>
      </c>
    </row>
    <row r="840">
      <c r="A840" t="inlineStr">
        <is>
          <t>Total for T-00166</t>
        </is>
      </c>
      <c r="J840">
        <f>J838</f>
        <v/>
      </c>
      <c r="K840">
        <f>K839</f>
        <v/>
      </c>
    </row>
    <row r="841"/>
    <row r="842">
      <c r="A842" t="inlineStr">
        <is>
          <t>T-00138</t>
        </is>
      </c>
    </row>
    <row r="843">
      <c r="B843" t="inlineStr">
        <is>
          <t>04/30/2025</t>
        </is>
      </c>
      <c r="C843" t="inlineStr">
        <is>
          <t>Expense</t>
        </is>
      </c>
      <c r="D843" t="inlineStr"/>
      <c r="E843" t="inlineStr">
        <is>
          <t>Proseware Payroll</t>
        </is>
      </c>
      <c r="F843" t="inlineStr">
        <is>
          <t>Payroll 2025-04-30 gross wages</t>
        </is>
      </c>
      <c r="G843" t="inlineStr">
        <is>
          <t>6000</t>
        </is>
      </c>
      <c r="H843" t="inlineStr">
        <is>
          <t>Salaries and Wages</t>
        </is>
      </c>
      <c r="I843" t="inlineStr">
        <is>
          <t>Overhead</t>
        </is>
      </c>
      <c r="J843">
        <f>20350.00</f>
        <v/>
      </c>
    </row>
    <row r="844">
      <c r="B844" t="inlineStr">
        <is>
          <t>04/30/2025</t>
        </is>
      </c>
      <c r="C844" t="inlineStr">
        <is>
          <t>Expense</t>
        </is>
      </c>
      <c r="D844" t="inlineStr"/>
      <c r="E844" t="inlineStr">
        <is>
          <t>Proseware Payroll</t>
        </is>
      </c>
      <c r="F844" t="inlineStr">
        <is>
          <t>Payroll 2025-04-30 employer taxes</t>
        </is>
      </c>
      <c r="G844" t="inlineStr">
        <is>
          <t>6010</t>
        </is>
      </c>
      <c r="H844" t="inlineStr">
        <is>
          <t>Payroll Taxes</t>
        </is>
      </c>
      <c r="I844" t="inlineStr">
        <is>
          <t>Overhead</t>
        </is>
      </c>
      <c r="J844">
        <f>1556.78</f>
        <v/>
      </c>
    </row>
    <row r="845">
      <c r="B845" t="inlineStr">
        <is>
          <t>04/30/2025</t>
        </is>
      </c>
      <c r="C845" t="inlineStr">
        <is>
          <t>Expense</t>
        </is>
      </c>
      <c r="D845" t="inlineStr"/>
      <c r="E845" t="inlineStr">
        <is>
          <t>Proseware Payroll</t>
        </is>
      </c>
      <c r="F845" t="inlineStr">
        <is>
          <t>Proseware payroll debit 2025-04-30</t>
        </is>
      </c>
      <c r="G845" t="inlineStr">
        <is>
          <t>1010</t>
        </is>
      </c>
      <c r="H845" t="inlineStr">
        <is>
          <t>Northgate Checking 7742</t>
        </is>
      </c>
      <c r="I845" t="inlineStr">
        <is>
          <t>Overhead</t>
        </is>
      </c>
      <c r="K845">
        <f>21906.78</f>
        <v/>
      </c>
    </row>
    <row r="846">
      <c r="A846" t="inlineStr">
        <is>
          <t>Total for T-00138</t>
        </is>
      </c>
      <c r="J846">
        <f>J843+J844</f>
        <v/>
      </c>
      <c r="K846">
        <f>K845</f>
        <v/>
      </c>
    </row>
    <row r="847"/>
    <row r="848">
      <c r="A848" t="inlineStr">
        <is>
          <t>T-00140</t>
        </is>
      </c>
    </row>
    <row r="849">
      <c r="B849" t="inlineStr">
        <is>
          <t>04/30/2025</t>
        </is>
      </c>
      <c r="C849" t="inlineStr">
        <is>
          <t>Deposit</t>
        </is>
      </c>
      <c r="D849" t="inlineStr"/>
      <c r="E849" t="inlineStr">
        <is>
          <t>Paylane</t>
        </is>
      </c>
      <c r="F849" t="inlineStr">
        <is>
          <t>Paylane payout 2025-04 #2</t>
        </is>
      </c>
      <c r="G849" t="inlineStr">
        <is>
          <t>1010</t>
        </is>
      </c>
      <c r="H849" t="inlineStr">
        <is>
          <t>Northgate Checking 7742</t>
        </is>
      </c>
      <c r="I849" t="inlineStr">
        <is>
          <t>Product</t>
        </is>
      </c>
      <c r="J849">
        <f>12198.02</f>
        <v/>
      </c>
    </row>
    <row r="850">
      <c r="B850" t="inlineStr">
        <is>
          <t>04/30/2025</t>
        </is>
      </c>
      <c r="C850" t="inlineStr">
        <is>
          <t>Deposit</t>
        </is>
      </c>
      <c r="D850" t="inlineStr"/>
      <c r="E850" t="inlineStr">
        <is>
          <t>Paylane</t>
        </is>
      </c>
      <c r="F850" t="inlineStr">
        <is>
          <t>Paylane payout 2025-04 #2</t>
        </is>
      </c>
      <c r="G850" t="inlineStr">
        <is>
          <t>1200</t>
        </is>
      </c>
      <c r="H850" t="inlineStr">
        <is>
          <t>Paylane Clearing</t>
        </is>
      </c>
      <c r="I850" t="inlineStr">
        <is>
          <t>Product</t>
        </is>
      </c>
      <c r="K850">
        <f>12198.02</f>
        <v/>
      </c>
    </row>
    <row r="851">
      <c r="A851" t="inlineStr">
        <is>
          <t>Total for T-00140</t>
        </is>
      </c>
      <c r="J851">
        <f>J849</f>
        <v/>
      </c>
      <c r="K851">
        <f>K850</f>
        <v/>
      </c>
    </row>
    <row r="852"/>
    <row r="853">
      <c r="A853" t="inlineStr">
        <is>
          <t>T-00141</t>
        </is>
      </c>
    </row>
    <row r="854">
      <c r="B854" t="inlineStr">
        <is>
          <t>04/30/2025</t>
        </is>
      </c>
      <c r="C854" t="inlineStr">
        <is>
          <t>Journal Entry</t>
        </is>
      </c>
      <c r="D854" t="inlineStr">
        <is>
          <t>JE-1014</t>
        </is>
      </c>
      <c r="E854" t="inlineStr">
        <is>
          <t>Paylane</t>
        </is>
      </c>
      <c r="F854" t="inlineStr">
        <is>
          <t>Paylane settlement 2025-04</t>
        </is>
      </c>
      <c r="G854" t="inlineStr">
        <is>
          <t>1200</t>
        </is>
      </c>
      <c r="H854" t="inlineStr">
        <is>
          <t>Paylane Clearing</t>
        </is>
      </c>
      <c r="I854" t="inlineStr">
        <is>
          <t>Product</t>
        </is>
      </c>
      <c r="J854">
        <f>27106.71</f>
        <v/>
      </c>
    </row>
    <row r="855">
      <c r="B855" t="inlineStr">
        <is>
          <t>04/30/2025</t>
        </is>
      </c>
      <c r="C855" t="inlineStr">
        <is>
          <t>Journal Entry</t>
        </is>
      </c>
      <c r="D855" t="inlineStr">
        <is>
          <t>JE-1014</t>
        </is>
      </c>
      <c r="E855" t="inlineStr">
        <is>
          <t>Paylane</t>
        </is>
      </c>
      <c r="F855" t="inlineStr">
        <is>
          <t>Paylane processing fees 2025-04, 49 charges</t>
        </is>
      </c>
      <c r="G855" t="inlineStr">
        <is>
          <t>6950</t>
        </is>
      </c>
      <c r="H855" t="inlineStr">
        <is>
          <t>Bank and Processor Fees</t>
        </is>
      </c>
      <c r="I855" t="inlineStr">
        <is>
          <t>Overhead</t>
        </is>
      </c>
      <c r="J855">
        <f>824.71</f>
        <v/>
      </c>
    </row>
    <row r="856">
      <c r="B856" t="inlineStr">
        <is>
          <t>04/30/2025</t>
        </is>
      </c>
      <c r="C856" t="inlineStr">
        <is>
          <t>Journal Entry</t>
        </is>
      </c>
      <c r="D856" t="inlineStr">
        <is>
          <t>JE-1014</t>
        </is>
      </c>
      <c r="E856" t="inlineStr">
        <is>
          <t>Paylane</t>
        </is>
      </c>
      <c r="F856" t="inlineStr">
        <is>
          <t>Paylane product sales 2025-04</t>
        </is>
      </c>
      <c r="G856" t="inlineStr">
        <is>
          <t>4000</t>
        </is>
      </c>
      <c r="H856" t="inlineStr">
        <is>
          <t>Product Revenue</t>
        </is>
      </c>
      <c r="I856" t="inlineStr">
        <is>
          <t>Product</t>
        </is>
      </c>
      <c r="K856">
        <f>27931.42</f>
        <v/>
      </c>
    </row>
    <row r="857">
      <c r="A857" t="inlineStr">
        <is>
          <t>Total for T-00141</t>
        </is>
      </c>
      <c r="J857">
        <f>J854+J855</f>
        <v/>
      </c>
      <c r="K857">
        <f>K856</f>
        <v/>
      </c>
    </row>
    <row r="858"/>
    <row r="859">
      <c r="A859" t="inlineStr">
        <is>
          <t>T-00169</t>
        </is>
      </c>
    </row>
    <row r="860">
      <c r="B860" t="inlineStr">
        <is>
          <t>04/30/2025</t>
        </is>
      </c>
      <c r="C860" t="inlineStr">
        <is>
          <t>Expense</t>
        </is>
      </c>
      <c r="D860" t="inlineStr"/>
      <c r="E860" t="inlineStr">
        <is>
          <t>Northgate Bank</t>
        </is>
      </c>
      <c r="F860" t="inlineStr">
        <is>
          <t>Account analysis fee 2025-04</t>
        </is>
      </c>
      <c r="G860" t="inlineStr">
        <is>
          <t>6950</t>
        </is>
      </c>
      <c r="H860" t="inlineStr">
        <is>
          <t>Bank and Processor Fees</t>
        </is>
      </c>
      <c r="I860" t="inlineStr">
        <is>
          <t>Overhead</t>
        </is>
      </c>
      <c r="J860">
        <f>45.00</f>
        <v/>
      </c>
    </row>
    <row r="861">
      <c r="B861" t="inlineStr">
        <is>
          <t>04/30/2025</t>
        </is>
      </c>
      <c r="C861" t="inlineStr">
        <is>
          <t>Expense</t>
        </is>
      </c>
      <c r="D861" t="inlineStr"/>
      <c r="E861" t="inlineStr">
        <is>
          <t>Northgate Bank</t>
        </is>
      </c>
      <c r="F861" t="inlineStr">
        <is>
          <t>Account analysis fee 2025-04</t>
        </is>
      </c>
      <c r="G861" t="inlineStr">
        <is>
          <t>1010</t>
        </is>
      </c>
      <c r="H861" t="inlineStr">
        <is>
          <t>Northgate Checking 7742</t>
        </is>
      </c>
      <c r="I861" t="inlineStr">
        <is>
          <t>Overhead</t>
        </is>
      </c>
      <c r="K861">
        <f>45.00</f>
        <v/>
      </c>
    </row>
    <row r="862">
      <c r="A862" t="inlineStr">
        <is>
          <t>Total for T-00169</t>
        </is>
      </c>
      <c r="J862">
        <f>J860</f>
        <v/>
      </c>
      <c r="K862">
        <f>K861</f>
        <v/>
      </c>
    </row>
    <row r="863"/>
    <row r="864">
      <c r="A864" t="inlineStr">
        <is>
          <t>T-00170</t>
        </is>
      </c>
    </row>
    <row r="865">
      <c r="B865" t="inlineStr">
        <is>
          <t>04/30/2025</t>
        </is>
      </c>
      <c r="C865" t="inlineStr">
        <is>
          <t>Deposit</t>
        </is>
      </c>
      <c r="D865" t="inlineStr"/>
      <c r="E865" t="inlineStr">
        <is>
          <t>Northgate Bank</t>
        </is>
      </c>
      <c r="F865" t="inlineStr">
        <is>
          <t>Savings interest 2025-04</t>
        </is>
      </c>
      <c r="G865" t="inlineStr">
        <is>
          <t>1020</t>
        </is>
      </c>
      <c r="H865" t="inlineStr">
        <is>
          <t>Northgate Savings 7809</t>
        </is>
      </c>
      <c r="I865" t="inlineStr">
        <is>
          <t>Overhead</t>
        </is>
      </c>
      <c r="J865">
        <f>8.00</f>
        <v/>
      </c>
    </row>
    <row r="866">
      <c r="B866" t="inlineStr">
        <is>
          <t>04/30/2025</t>
        </is>
      </c>
      <c r="C866" t="inlineStr">
        <is>
          <t>Deposit</t>
        </is>
      </c>
      <c r="D866" t="inlineStr"/>
      <c r="E866" t="inlineStr">
        <is>
          <t>Northgate Bank</t>
        </is>
      </c>
      <c r="F866" t="inlineStr">
        <is>
          <t>Savings interest 2025-04</t>
        </is>
      </c>
      <c r="G866" t="inlineStr">
        <is>
          <t>4900</t>
        </is>
      </c>
      <c r="H866" t="inlineStr">
        <is>
          <t>Interest Income</t>
        </is>
      </c>
      <c r="I866" t="inlineStr">
        <is>
          <t>Overhead</t>
        </is>
      </c>
      <c r="K866">
        <f>8.00</f>
        <v/>
      </c>
    </row>
    <row r="867">
      <c r="A867" t="inlineStr">
        <is>
          <t>Total for T-00170</t>
        </is>
      </c>
      <c r="J867">
        <f>J865</f>
        <v/>
      </c>
      <c r="K867">
        <f>K866</f>
        <v/>
      </c>
    </row>
    <row r="868"/>
    <row r="869">
      <c r="A869" t="inlineStr">
        <is>
          <t>T-00171</t>
        </is>
      </c>
    </row>
    <row r="870">
      <c r="B870" t="inlineStr">
        <is>
          <t>04/30/2025</t>
        </is>
      </c>
      <c r="C870" t="inlineStr">
        <is>
          <t>Journal Entry</t>
        </is>
      </c>
      <c r="D870" t="inlineStr">
        <is>
          <t>JE-1015</t>
        </is>
      </c>
      <c r="E870" t="inlineStr">
        <is>
          <t>Adatum Insurance</t>
        </is>
      </c>
      <c r="F870" t="inlineStr">
        <is>
          <t>Insurance 2025-04</t>
        </is>
      </c>
      <c r="G870" t="inlineStr">
        <is>
          <t>6500</t>
        </is>
      </c>
      <c r="H870" t="inlineStr">
        <is>
          <t>Insurance</t>
        </is>
      </c>
      <c r="I870" t="inlineStr">
        <is>
          <t>Overhead</t>
        </is>
      </c>
      <c r="J870">
        <f>1200.00</f>
        <v/>
      </c>
    </row>
    <row r="871">
      <c r="B871" t="inlineStr">
        <is>
          <t>04/30/2025</t>
        </is>
      </c>
      <c r="C871" t="inlineStr">
        <is>
          <t>Journal Entry</t>
        </is>
      </c>
      <c r="D871" t="inlineStr">
        <is>
          <t>JE-1015</t>
        </is>
      </c>
      <c r="E871" t="inlineStr">
        <is>
          <t>Adatum Insurance</t>
        </is>
      </c>
      <c r="F871" t="inlineStr">
        <is>
          <t>Insurance 2025-04</t>
        </is>
      </c>
      <c r="G871" t="inlineStr">
        <is>
          <t>1300</t>
        </is>
      </c>
      <c r="H871" t="inlineStr">
        <is>
          <t>Prepaid Insurance</t>
        </is>
      </c>
      <c r="I871" t="inlineStr">
        <is>
          <t>Overhead</t>
        </is>
      </c>
      <c r="K871">
        <f>1200.00</f>
        <v/>
      </c>
    </row>
    <row r="872">
      <c r="A872" t="inlineStr">
        <is>
          <t>Total for T-00171</t>
        </is>
      </c>
      <c r="J872">
        <f>J870</f>
        <v/>
      </c>
      <c r="K872">
        <f>K871</f>
        <v/>
      </c>
    </row>
    <row r="873"/>
    <row r="874">
      <c r="A874" t="inlineStr">
        <is>
          <t>T-00172</t>
        </is>
      </c>
    </row>
    <row r="875">
      <c r="B875" t="inlineStr">
        <is>
          <t>04/30/2025</t>
        </is>
      </c>
      <c r="C875" t="inlineStr">
        <is>
          <t>Journal Entry</t>
        </is>
      </c>
      <c r="D875" t="inlineStr">
        <is>
          <t>JE-1016</t>
        </is>
      </c>
      <c r="E875" t="inlineStr">
        <is>
          <t>Tailspin Tools</t>
        </is>
      </c>
      <c r="F875" t="inlineStr">
        <is>
          <t>Software 2025-04</t>
        </is>
      </c>
      <c r="G875" t="inlineStr">
        <is>
          <t>6200</t>
        </is>
      </c>
      <c r="H875" t="inlineStr">
        <is>
          <t>Software Subscriptions</t>
        </is>
      </c>
      <c r="I875" t="inlineStr">
        <is>
          <t>Overhead</t>
        </is>
      </c>
      <c r="J875">
        <f>800.00</f>
        <v/>
      </c>
    </row>
    <row r="876">
      <c r="B876" t="inlineStr">
        <is>
          <t>04/30/2025</t>
        </is>
      </c>
      <c r="C876" t="inlineStr">
        <is>
          <t>Journal Entry</t>
        </is>
      </c>
      <c r="D876" t="inlineStr">
        <is>
          <t>JE-1016</t>
        </is>
      </c>
      <c r="E876" t="inlineStr">
        <is>
          <t>Tailspin Tools</t>
        </is>
      </c>
      <c r="F876" t="inlineStr">
        <is>
          <t>Software 2025-04</t>
        </is>
      </c>
      <c r="G876" t="inlineStr">
        <is>
          <t>1310</t>
        </is>
      </c>
      <c r="H876" t="inlineStr">
        <is>
          <t>Prepaid Software</t>
        </is>
      </c>
      <c r="I876" t="inlineStr">
        <is>
          <t>Overhead</t>
        </is>
      </c>
      <c r="K876">
        <f>800.00</f>
        <v/>
      </c>
    </row>
    <row r="877">
      <c r="A877" t="inlineStr">
        <is>
          <t>Total for T-00172</t>
        </is>
      </c>
      <c r="J877">
        <f>J875</f>
        <v/>
      </c>
      <c r="K877">
        <f>K876</f>
        <v/>
      </c>
    </row>
    <row r="878"/>
    <row r="879">
      <c r="A879" t="inlineStr">
        <is>
          <t>T-00173</t>
        </is>
      </c>
    </row>
    <row r="880">
      <c r="B880" t="inlineStr">
        <is>
          <t>04/30/2025</t>
        </is>
      </c>
      <c r="C880" t="inlineStr">
        <is>
          <t>Journal Entry</t>
        </is>
      </c>
      <c r="D880" t="inlineStr">
        <is>
          <t>JE-1017</t>
        </is>
      </c>
      <c r="E880" t="inlineStr">
        <is>
          <t>Orion Design Works</t>
        </is>
      </c>
      <c r="F880" t="inlineStr">
        <is>
          <t>Design license 2025-04</t>
        </is>
      </c>
      <c r="G880" t="inlineStr">
        <is>
          <t>7100</t>
        </is>
      </c>
      <c r="H880" t="inlineStr">
        <is>
          <t>Amortization Expense</t>
        </is>
      </c>
      <c r="I880" t="inlineStr">
        <is>
          <t>Product</t>
        </is>
      </c>
      <c r="J880">
        <f>1000.00</f>
        <v/>
      </c>
    </row>
    <row r="881">
      <c r="B881" t="inlineStr">
        <is>
          <t>04/30/2025</t>
        </is>
      </c>
      <c r="C881" t="inlineStr">
        <is>
          <t>Journal Entry</t>
        </is>
      </c>
      <c r="D881" t="inlineStr">
        <is>
          <t>JE-1017</t>
        </is>
      </c>
      <c r="E881" t="inlineStr">
        <is>
          <t>Orion Design Works</t>
        </is>
      </c>
      <c r="F881" t="inlineStr">
        <is>
          <t>Design license 2025-04</t>
        </is>
      </c>
      <c r="G881" t="inlineStr">
        <is>
          <t>1610</t>
        </is>
      </c>
      <c r="H881" t="inlineStr">
        <is>
          <t>Accumulated Amortization - Design License</t>
        </is>
      </c>
      <c r="I881" t="inlineStr">
        <is>
          <t>Product</t>
        </is>
      </c>
      <c r="K881">
        <f>1000.00</f>
        <v/>
      </c>
    </row>
    <row r="882">
      <c r="A882" t="inlineStr">
        <is>
          <t>Total for T-00173</t>
        </is>
      </c>
      <c r="J882">
        <f>J880</f>
        <v/>
      </c>
      <c r="K882">
        <f>K881</f>
        <v/>
      </c>
    </row>
    <row r="883"/>
    <row r="884">
      <c r="A884" t="inlineStr">
        <is>
          <t>T-00174</t>
        </is>
      </c>
    </row>
    <row r="885">
      <c r="B885" t="inlineStr">
        <is>
          <t>04/30/2025</t>
        </is>
      </c>
      <c r="C885" t="inlineStr">
        <is>
          <t>Journal Entry</t>
        </is>
      </c>
      <c r="D885" t="inlineStr">
        <is>
          <t>JE-1018</t>
        </is>
      </c>
      <c r="E885" t="inlineStr"/>
      <c r="F885" t="inlineStr">
        <is>
          <t>Depreciation 2025-04</t>
        </is>
      </c>
      <c r="G885" t="inlineStr">
        <is>
          <t>7000</t>
        </is>
      </c>
      <c r="H885" t="inlineStr">
        <is>
          <t>Depreciation Expense</t>
        </is>
      </c>
      <c r="I885" t="inlineStr">
        <is>
          <t>Product</t>
        </is>
      </c>
      <c r="J885">
        <f>800.00</f>
        <v/>
      </c>
    </row>
    <row r="886">
      <c r="B886" t="inlineStr">
        <is>
          <t>04/30/2025</t>
        </is>
      </c>
      <c r="C886" t="inlineStr">
        <is>
          <t>Journal Entry</t>
        </is>
      </c>
      <c r="D886" t="inlineStr">
        <is>
          <t>JE-1018</t>
        </is>
      </c>
      <c r="E886" t="inlineStr"/>
      <c r="F886" t="inlineStr">
        <is>
          <t>Depreciation 2025-04</t>
        </is>
      </c>
      <c r="G886" t="inlineStr">
        <is>
          <t>1510</t>
        </is>
      </c>
      <c r="H886" t="inlineStr">
        <is>
          <t>Accumulated Depreciation</t>
        </is>
      </c>
      <c r="I886" t="inlineStr">
        <is>
          <t>Product</t>
        </is>
      </c>
      <c r="K886">
        <f>800.00</f>
        <v/>
      </c>
    </row>
    <row r="887">
      <c r="A887" t="inlineStr">
        <is>
          <t>Total for T-00174</t>
        </is>
      </c>
      <c r="J887">
        <f>J885</f>
        <v/>
      </c>
      <c r="K887">
        <f>K886</f>
        <v/>
      </c>
    </row>
    <row r="888"/>
    <row r="889">
      <c r="A889" t="inlineStr">
        <is>
          <t>T-00176</t>
        </is>
      </c>
    </row>
    <row r="890">
      <c r="B890" t="inlineStr">
        <is>
          <t>05/01/2025</t>
        </is>
      </c>
      <c r="C890" t="inlineStr">
        <is>
          <t>Expense</t>
        </is>
      </c>
      <c r="D890" t="inlineStr"/>
      <c r="E890" t="inlineStr">
        <is>
          <t>Wingtip Workspace</t>
        </is>
      </c>
      <c r="F890" t="inlineStr">
        <is>
          <t>Office rent 2025-05</t>
        </is>
      </c>
      <c r="G890" t="inlineStr">
        <is>
          <t>6400</t>
        </is>
      </c>
      <c r="H890" t="inlineStr">
        <is>
          <t>Rent</t>
        </is>
      </c>
      <c r="I890" t="inlineStr">
        <is>
          <t>Overhead</t>
        </is>
      </c>
      <c r="J890">
        <f>6500.00</f>
        <v/>
      </c>
    </row>
    <row r="891">
      <c r="B891" t="inlineStr">
        <is>
          <t>05/01/2025</t>
        </is>
      </c>
      <c r="C891" t="inlineStr">
        <is>
          <t>Expense</t>
        </is>
      </c>
      <c r="D891" t="inlineStr"/>
      <c r="E891" t="inlineStr">
        <is>
          <t>Wingtip Workspace</t>
        </is>
      </c>
      <c r="F891" t="inlineStr">
        <is>
          <t>Office rent 2025-05</t>
        </is>
      </c>
      <c r="G891" t="inlineStr">
        <is>
          <t>1010</t>
        </is>
      </c>
      <c r="H891" t="inlineStr">
        <is>
          <t>Northgate Checking 7742</t>
        </is>
      </c>
      <c r="I891" t="inlineStr">
        <is>
          <t>Overhead</t>
        </is>
      </c>
      <c r="K891">
        <f>6500.00</f>
        <v/>
      </c>
    </row>
    <row r="892">
      <c r="A892" t="inlineStr">
        <is>
          <t>Total for T-00176</t>
        </is>
      </c>
      <c r="J892">
        <f>J890</f>
        <v/>
      </c>
      <c r="K892">
        <f>K891</f>
        <v/>
      </c>
    </row>
    <row r="893"/>
    <row r="894">
      <c r="A894" t="inlineStr">
        <is>
          <t>T-00220</t>
        </is>
      </c>
    </row>
    <row r="895">
      <c r="B895" t="inlineStr">
        <is>
          <t>05/03/2025</t>
        </is>
      </c>
      <c r="C895" t="inlineStr">
        <is>
          <t>Credit Card Charge</t>
        </is>
      </c>
      <c r="D895" t="inlineStr"/>
      <c r="E895" t="inlineStr">
        <is>
          <t>Skyward Air</t>
        </is>
      </c>
      <c r="F895" t="inlineStr">
        <is>
          <t>Skyward Air 2025-05</t>
        </is>
      </c>
      <c r="G895" t="inlineStr">
        <is>
          <t>6900</t>
        </is>
      </c>
      <c r="H895" t="inlineStr">
        <is>
          <t>Travel and Meals</t>
        </is>
      </c>
      <c r="I895" t="inlineStr">
        <is>
          <t>Overhead</t>
        </is>
      </c>
      <c r="J895">
        <f>291.10</f>
        <v/>
      </c>
    </row>
    <row r="896">
      <c r="B896" t="inlineStr">
        <is>
          <t>05/03/2025</t>
        </is>
      </c>
      <c r="C896" t="inlineStr">
        <is>
          <t>Credit Card Charge</t>
        </is>
      </c>
      <c r="D896" t="inlineStr"/>
      <c r="E896" t="inlineStr">
        <is>
          <t>Skyward Air</t>
        </is>
      </c>
      <c r="F896" t="inlineStr">
        <is>
          <t>Skyward Air 2025-05</t>
        </is>
      </c>
      <c r="H896" t="inlineStr">
        <is>
          <t>Vantage Credit Card 3391</t>
        </is>
      </c>
      <c r="I896" t="inlineStr">
        <is>
          <t>Overhead</t>
        </is>
      </c>
      <c r="K896">
        <f>291.10</f>
        <v/>
      </c>
    </row>
    <row r="897">
      <c r="A897" t="inlineStr">
        <is>
          <t>Total for T-00220</t>
        </is>
      </c>
      <c r="J897">
        <f>J895</f>
        <v/>
      </c>
      <c r="K897">
        <f>K896</f>
        <v/>
      </c>
    </row>
    <row r="898"/>
    <row r="899">
      <c r="A899" t="inlineStr">
        <is>
          <t>T-00177</t>
        </is>
      </c>
    </row>
    <row r="900">
      <c r="B900" t="inlineStr">
        <is>
          <t>05/04/2025</t>
        </is>
      </c>
      <c r="C900" t="inlineStr">
        <is>
          <t>Credit Card Charge</t>
        </is>
      </c>
      <c r="D900" t="inlineStr"/>
      <c r="E900" t="inlineStr">
        <is>
          <t>Contoso Cloud</t>
        </is>
      </c>
      <c r="F900" t="inlineStr">
        <is>
          <t>Cloud hosting 2025-05</t>
        </is>
      </c>
      <c r="G900" t="inlineStr">
        <is>
          <t>6300</t>
        </is>
      </c>
      <c r="H900" t="inlineStr">
        <is>
          <t>Cloud Hosting</t>
        </is>
      </c>
      <c r="I900" t="inlineStr">
        <is>
          <t>Services</t>
        </is>
      </c>
      <c r="J900">
        <f>2880.00</f>
        <v/>
      </c>
    </row>
    <row r="901">
      <c r="B901" t="inlineStr">
        <is>
          <t>05/04/2025</t>
        </is>
      </c>
      <c r="C901" t="inlineStr">
        <is>
          <t>Credit Card Charge</t>
        </is>
      </c>
      <c r="D901" t="inlineStr"/>
      <c r="E901" t="inlineStr">
        <is>
          <t>Contoso Cloud</t>
        </is>
      </c>
      <c r="F901" t="inlineStr">
        <is>
          <t>Cloud hosting 2025-05</t>
        </is>
      </c>
      <c r="H901" t="inlineStr">
        <is>
          <t>Vantage Credit Card 3391</t>
        </is>
      </c>
      <c r="I901" t="inlineStr">
        <is>
          <t>Services</t>
        </is>
      </c>
      <c r="K901">
        <f>2880.00</f>
        <v/>
      </c>
    </row>
    <row r="902">
      <c r="A902" t="inlineStr">
        <is>
          <t>Total for T-00177</t>
        </is>
      </c>
      <c r="J902">
        <f>J900</f>
        <v/>
      </c>
      <c r="K902">
        <f>K901</f>
        <v/>
      </c>
    </row>
    <row r="903"/>
    <row r="904">
      <c r="A904" t="inlineStr">
        <is>
          <t>T-00211</t>
        </is>
      </c>
    </row>
    <row r="905">
      <c r="B905" t="inlineStr">
        <is>
          <t>05/04/2025</t>
        </is>
      </c>
      <c r="C905" t="inlineStr">
        <is>
          <t>Expense</t>
        </is>
      </c>
      <c r="D905" t="inlineStr"/>
      <c r="E905" t="inlineStr">
        <is>
          <t>Quartz CAD Services</t>
        </is>
      </c>
      <c r="F905" t="inlineStr">
        <is>
          <t>Quartz CAD Services invoice 96978</t>
        </is>
      </c>
      <c r="G905" t="inlineStr">
        <is>
          <t>6100</t>
        </is>
      </c>
      <c r="H905" t="inlineStr">
        <is>
          <t>Contract Engineering</t>
        </is>
      </c>
      <c r="I905" t="inlineStr">
        <is>
          <t>Product</t>
        </is>
      </c>
      <c r="J905">
        <f>181.65</f>
        <v/>
      </c>
    </row>
    <row r="906">
      <c r="B906" t="inlineStr">
        <is>
          <t>05/04/2025</t>
        </is>
      </c>
      <c r="C906" t="inlineStr">
        <is>
          <t>Expense</t>
        </is>
      </c>
      <c r="D906" t="inlineStr"/>
      <c r="E906" t="inlineStr">
        <is>
          <t>Quartz CAD Services</t>
        </is>
      </c>
      <c r="F906" t="inlineStr">
        <is>
          <t>Quartz CAD Services invoice 96978</t>
        </is>
      </c>
      <c r="G906" t="inlineStr">
        <is>
          <t>1010</t>
        </is>
      </c>
      <c r="H906" t="inlineStr">
        <is>
          <t>Northgate Checking 7742</t>
        </is>
      </c>
      <c r="I906" t="inlineStr">
        <is>
          <t>Product</t>
        </is>
      </c>
      <c r="K906">
        <f>181.65</f>
        <v/>
      </c>
    </row>
    <row r="907">
      <c r="A907" t="inlineStr">
        <is>
          <t>Total for T-00211</t>
        </is>
      </c>
      <c r="J907">
        <f>J905</f>
        <v/>
      </c>
      <c r="K907">
        <f>K906</f>
        <v/>
      </c>
    </row>
    <row r="908"/>
    <row r="909">
      <c r="A909" t="inlineStr">
        <is>
          <t>T-00216</t>
        </is>
      </c>
    </row>
    <row r="910">
      <c r="B910" t="inlineStr">
        <is>
          <t>05/04/2025</t>
        </is>
      </c>
      <c r="C910" t="inlineStr">
        <is>
          <t>Expense</t>
        </is>
      </c>
      <c r="D910" t="inlineStr"/>
      <c r="E910" t="inlineStr">
        <is>
          <t>Bluepeak Engineering</t>
        </is>
      </c>
      <c r="F910" t="inlineStr">
        <is>
          <t>Bluepeak Engineering invoice 21217</t>
        </is>
      </c>
      <c r="G910" t="inlineStr">
        <is>
          <t>6100</t>
        </is>
      </c>
      <c r="H910" t="inlineStr">
        <is>
          <t>Contract Engineering</t>
        </is>
      </c>
      <c r="I910" t="inlineStr">
        <is>
          <t>Product</t>
        </is>
      </c>
      <c r="J910">
        <f>587.00</f>
        <v/>
      </c>
    </row>
    <row r="911">
      <c r="B911" t="inlineStr">
        <is>
          <t>05/04/2025</t>
        </is>
      </c>
      <c r="C911" t="inlineStr">
        <is>
          <t>Expense</t>
        </is>
      </c>
      <c r="D911" t="inlineStr"/>
      <c r="E911" t="inlineStr">
        <is>
          <t>Bluepeak Engineering</t>
        </is>
      </c>
      <c r="F911" t="inlineStr">
        <is>
          <t>Bluepeak Engineering invoice 21217</t>
        </is>
      </c>
      <c r="G911" t="inlineStr">
        <is>
          <t>1010</t>
        </is>
      </c>
      <c r="H911" t="inlineStr">
        <is>
          <t>Northgate Checking 7742</t>
        </is>
      </c>
      <c r="I911" t="inlineStr">
        <is>
          <t>Product</t>
        </is>
      </c>
      <c r="K911">
        <f>587.00</f>
        <v/>
      </c>
    </row>
    <row r="912">
      <c r="A912" t="inlineStr">
        <is>
          <t>Total for T-00216</t>
        </is>
      </c>
      <c r="J912">
        <f>J910</f>
        <v/>
      </c>
      <c r="K912">
        <f>K911</f>
        <v/>
      </c>
    </row>
    <row r="913"/>
    <row r="914">
      <c r="A914" t="inlineStr">
        <is>
          <t>T-00179</t>
        </is>
      </c>
    </row>
    <row r="915">
      <c r="B915" t="inlineStr">
        <is>
          <t>05/05/2025</t>
        </is>
      </c>
      <c r="C915" t="inlineStr">
        <is>
          <t>Expense</t>
        </is>
      </c>
      <c r="D915" t="inlineStr"/>
      <c r="E915" t="inlineStr">
        <is>
          <t>Vantage Card</t>
        </is>
      </c>
      <c r="F915" t="inlineStr">
        <is>
          <t>Vantage card payment</t>
        </is>
      </c>
      <c r="G915" t="inlineStr">
        <is>
          <t>2100</t>
        </is>
      </c>
      <c r="H915" t="inlineStr">
        <is>
          <t>Vantage Card 3391</t>
        </is>
      </c>
      <c r="I915" t="inlineStr">
        <is>
          <t>Overhead</t>
        </is>
      </c>
      <c r="J915">
        <f>5680.12</f>
        <v/>
      </c>
    </row>
    <row r="916">
      <c r="B916" t="inlineStr">
        <is>
          <t>05/05/2025</t>
        </is>
      </c>
      <c r="C916" t="inlineStr">
        <is>
          <t>Expense</t>
        </is>
      </c>
      <c r="D916" t="inlineStr"/>
      <c r="E916" t="inlineStr">
        <is>
          <t>Vantage Card</t>
        </is>
      </c>
      <c r="F916" t="inlineStr">
        <is>
          <t>Vantage card payment</t>
        </is>
      </c>
      <c r="G916" t="inlineStr">
        <is>
          <t>1010</t>
        </is>
      </c>
      <c r="H916" t="inlineStr">
        <is>
          <t>Northgate Checking 7742</t>
        </is>
      </c>
      <c r="I916" t="inlineStr">
        <is>
          <t>Overhead</t>
        </is>
      </c>
      <c r="K916">
        <f>5680.12</f>
        <v/>
      </c>
    </row>
    <row r="917">
      <c r="A917" t="inlineStr">
        <is>
          <t>Total for T-00179</t>
        </is>
      </c>
      <c r="J917">
        <f>J915</f>
        <v/>
      </c>
      <c r="K917">
        <f>K916</f>
        <v/>
      </c>
    </row>
    <row r="918"/>
    <row r="919">
      <c r="A919" t="inlineStr">
        <is>
          <t>T-00180</t>
        </is>
      </c>
    </row>
    <row r="920">
      <c r="B920" t="inlineStr">
        <is>
          <t>05/05/2025</t>
        </is>
      </c>
      <c r="C920" t="inlineStr">
        <is>
          <t>Transfer</t>
        </is>
      </c>
      <c r="D920" t="inlineStr"/>
      <c r="E920" t="inlineStr"/>
      <c r="F920" t="inlineStr">
        <is>
          <t>Transfer to savings</t>
        </is>
      </c>
      <c r="G920" t="inlineStr">
        <is>
          <t>1020</t>
        </is>
      </c>
      <c r="H920" t="inlineStr">
        <is>
          <t>Northgate Savings 7809</t>
        </is>
      </c>
      <c r="I920" t="inlineStr">
        <is>
          <t>Overhead</t>
        </is>
      </c>
      <c r="J920">
        <f>5000.00</f>
        <v/>
      </c>
    </row>
    <row r="921">
      <c r="B921" t="inlineStr">
        <is>
          <t>05/05/2025</t>
        </is>
      </c>
      <c r="C921" t="inlineStr">
        <is>
          <t>Transfer</t>
        </is>
      </c>
      <c r="D921" t="inlineStr"/>
      <c r="E921" t="inlineStr"/>
      <c r="F921" t="inlineStr">
        <is>
          <t>Transfer to savings</t>
        </is>
      </c>
      <c r="G921" t="inlineStr">
        <is>
          <t>1010</t>
        </is>
      </c>
      <c r="H921" t="inlineStr">
        <is>
          <t>Northgate Checking 7742</t>
        </is>
      </c>
      <c r="I921" t="inlineStr">
        <is>
          <t>Overhead</t>
        </is>
      </c>
      <c r="K921">
        <f>5000.00</f>
        <v/>
      </c>
    </row>
    <row r="922">
      <c r="A922" t="inlineStr">
        <is>
          <t>Total for T-00180</t>
        </is>
      </c>
      <c r="J922">
        <f>J920</f>
        <v/>
      </c>
      <c r="K922">
        <f>K921</f>
        <v/>
      </c>
    </row>
    <row r="923"/>
    <row r="924">
      <c r="A924" t="inlineStr">
        <is>
          <t>T-00209</t>
        </is>
      </c>
    </row>
    <row r="925">
      <c r="B925" t="inlineStr">
        <is>
          <t>05/05/2025</t>
        </is>
      </c>
      <c r="C925" t="inlineStr">
        <is>
          <t>Expense</t>
        </is>
      </c>
      <c r="D925" t="inlineStr"/>
      <c r="E925" t="inlineStr">
        <is>
          <t>Quartz CAD Services</t>
        </is>
      </c>
      <c r="F925" t="inlineStr">
        <is>
          <t>Quartz CAD Services invoice 10294</t>
        </is>
      </c>
      <c r="G925" t="inlineStr">
        <is>
          <t>6100</t>
        </is>
      </c>
      <c r="H925" t="inlineStr">
        <is>
          <t>Contract Engineering</t>
        </is>
      </c>
      <c r="I925" t="inlineStr">
        <is>
          <t>Product</t>
        </is>
      </c>
      <c r="J925">
        <f>754.69</f>
        <v/>
      </c>
    </row>
    <row r="926">
      <c r="B926" t="inlineStr">
        <is>
          <t>05/05/2025</t>
        </is>
      </c>
      <c r="C926" t="inlineStr">
        <is>
          <t>Expense</t>
        </is>
      </c>
      <c r="D926" t="inlineStr"/>
      <c r="E926" t="inlineStr">
        <is>
          <t>Quartz CAD Services</t>
        </is>
      </c>
      <c r="F926" t="inlineStr">
        <is>
          <t>Quartz CAD Services invoice 10294</t>
        </is>
      </c>
      <c r="G926" t="inlineStr">
        <is>
          <t>1010</t>
        </is>
      </c>
      <c r="H926" t="inlineStr">
        <is>
          <t>Northgate Checking 7742</t>
        </is>
      </c>
      <c r="I926" t="inlineStr">
        <is>
          <t>Product</t>
        </is>
      </c>
      <c r="K926">
        <f>754.69</f>
        <v/>
      </c>
    </row>
    <row r="927">
      <c r="A927" t="inlineStr">
        <is>
          <t>Total for T-00209</t>
        </is>
      </c>
      <c r="J927">
        <f>J925</f>
        <v/>
      </c>
      <c r="K927">
        <f>K926</f>
        <v/>
      </c>
    </row>
    <row r="928"/>
    <row r="929">
      <c r="A929" t="inlineStr">
        <is>
          <t>T-00212</t>
        </is>
      </c>
    </row>
    <row r="930">
      <c r="B930" t="inlineStr">
        <is>
          <t>05/05/2025</t>
        </is>
      </c>
      <c r="C930" t="inlineStr">
        <is>
          <t>Expense</t>
        </is>
      </c>
      <c r="D930" t="inlineStr"/>
      <c r="E930" t="inlineStr">
        <is>
          <t>Quartz CAD Services</t>
        </is>
      </c>
      <c r="F930" t="inlineStr">
        <is>
          <t>Quartz CAD Services invoice 11550</t>
        </is>
      </c>
      <c r="G930" t="inlineStr">
        <is>
          <t>6100</t>
        </is>
      </c>
      <c r="H930" t="inlineStr">
        <is>
          <t>Contract Engineering</t>
        </is>
      </c>
      <c r="I930" t="inlineStr">
        <is>
          <t>Product</t>
        </is>
      </c>
      <c r="J930">
        <f>771.03</f>
        <v/>
      </c>
    </row>
    <row r="931">
      <c r="B931" t="inlineStr">
        <is>
          <t>05/05/2025</t>
        </is>
      </c>
      <c r="C931" t="inlineStr">
        <is>
          <t>Expense</t>
        </is>
      </c>
      <c r="D931" t="inlineStr"/>
      <c r="E931" t="inlineStr">
        <is>
          <t>Quartz CAD Services</t>
        </is>
      </c>
      <c r="F931" t="inlineStr">
        <is>
          <t>Quartz CAD Services invoice 11550</t>
        </is>
      </c>
      <c r="G931" t="inlineStr">
        <is>
          <t>1010</t>
        </is>
      </c>
      <c r="H931" t="inlineStr">
        <is>
          <t>Northgate Checking 7742</t>
        </is>
      </c>
      <c r="I931" t="inlineStr">
        <is>
          <t>Product</t>
        </is>
      </c>
      <c r="K931">
        <f>771.03</f>
        <v/>
      </c>
    </row>
    <row r="932">
      <c r="A932" t="inlineStr">
        <is>
          <t>Total for T-00212</t>
        </is>
      </c>
      <c r="J932">
        <f>J930</f>
        <v/>
      </c>
      <c r="K932">
        <f>K931</f>
        <v/>
      </c>
    </row>
    <row r="933"/>
    <row r="934">
      <c r="A934" t="inlineStr">
        <is>
          <t>T-00204</t>
        </is>
      </c>
    </row>
    <row r="935">
      <c r="B935" t="inlineStr">
        <is>
          <t>05/07/2025</t>
        </is>
      </c>
      <c r="C935" t="inlineStr">
        <is>
          <t>Expense</t>
        </is>
      </c>
      <c r="D935" t="inlineStr"/>
      <c r="E935" t="inlineStr">
        <is>
          <t>Redwood Prototyping</t>
        </is>
      </c>
      <c r="F935" t="inlineStr">
        <is>
          <t>Redwood Prototyping invoice 97400</t>
        </is>
      </c>
      <c r="G935" t="inlineStr">
        <is>
          <t>6100</t>
        </is>
      </c>
      <c r="H935" t="inlineStr">
        <is>
          <t>Contract Engineering</t>
        </is>
      </c>
      <c r="I935" t="inlineStr">
        <is>
          <t>Product</t>
        </is>
      </c>
      <c r="J935">
        <f>1094.90</f>
        <v/>
      </c>
    </row>
    <row r="936">
      <c r="B936" t="inlineStr">
        <is>
          <t>05/07/2025</t>
        </is>
      </c>
      <c r="C936" t="inlineStr">
        <is>
          <t>Expense</t>
        </is>
      </c>
      <c r="D936" t="inlineStr"/>
      <c r="E936" t="inlineStr">
        <is>
          <t>Redwood Prototyping</t>
        </is>
      </c>
      <c r="F936" t="inlineStr">
        <is>
          <t>Redwood Prototyping invoice 97400</t>
        </is>
      </c>
      <c r="G936" t="inlineStr">
        <is>
          <t>1010</t>
        </is>
      </c>
      <c r="H936" t="inlineStr">
        <is>
          <t>Northgate Checking 7742</t>
        </is>
      </c>
      <c r="I936" t="inlineStr">
        <is>
          <t>Product</t>
        </is>
      </c>
      <c r="K936">
        <f>1094.90</f>
        <v/>
      </c>
    </row>
    <row r="937">
      <c r="A937" t="inlineStr">
        <is>
          <t>Total for T-00204</t>
        </is>
      </c>
      <c r="J937">
        <f>J935</f>
        <v/>
      </c>
      <c r="K937">
        <f>K936</f>
        <v/>
      </c>
    </row>
    <row r="938"/>
    <row r="939">
      <c r="A939" t="inlineStr">
        <is>
          <t>T-00213</t>
        </is>
      </c>
    </row>
    <row r="940">
      <c r="B940" t="inlineStr">
        <is>
          <t>05/07/2025</t>
        </is>
      </c>
      <c r="C940" t="inlineStr">
        <is>
          <t>Credit Card Charge</t>
        </is>
      </c>
      <c r="D940" t="inlineStr"/>
      <c r="E940" t="inlineStr">
        <is>
          <t>Lumina Ads</t>
        </is>
      </c>
      <c r="F940" t="inlineStr">
        <is>
          <t>Lumina Ads 2025-05</t>
        </is>
      </c>
      <c r="G940" t="inlineStr">
        <is>
          <t>6600</t>
        </is>
      </c>
      <c r="H940" t="inlineStr">
        <is>
          <t>Marketing and Advertising</t>
        </is>
      </c>
      <c r="I940" t="inlineStr">
        <is>
          <t>Overhead</t>
        </is>
      </c>
      <c r="J940">
        <f>1687.65</f>
        <v/>
      </c>
    </row>
    <row r="941">
      <c r="B941" t="inlineStr">
        <is>
          <t>05/07/2025</t>
        </is>
      </c>
      <c r="C941" t="inlineStr">
        <is>
          <t>Credit Card Charge</t>
        </is>
      </c>
      <c r="D941" t="inlineStr"/>
      <c r="E941" t="inlineStr">
        <is>
          <t>Lumina Ads</t>
        </is>
      </c>
      <c r="F941" t="inlineStr">
        <is>
          <t>Lumina Ads 2025-05</t>
        </is>
      </c>
      <c r="H941" t="inlineStr">
        <is>
          <t>Vantage Credit Card 3391</t>
        </is>
      </c>
      <c r="I941" t="inlineStr">
        <is>
          <t>Overhead</t>
        </is>
      </c>
      <c r="K941">
        <f>1687.65</f>
        <v/>
      </c>
    </row>
    <row r="942">
      <c r="A942" t="inlineStr">
        <is>
          <t>Total for T-00213</t>
        </is>
      </c>
      <c r="J942">
        <f>J940</f>
        <v/>
      </c>
      <c r="K942">
        <f>K941</f>
        <v/>
      </c>
    </row>
    <row r="943"/>
    <row r="944">
      <c r="A944" t="inlineStr">
        <is>
          <t>T-00214</t>
        </is>
      </c>
    </row>
    <row r="945">
      <c r="B945" t="inlineStr">
        <is>
          <t>05/09/2025</t>
        </is>
      </c>
      <c r="C945" t="inlineStr">
        <is>
          <t>Credit Card Charge</t>
        </is>
      </c>
      <c r="D945" t="inlineStr"/>
      <c r="E945" t="inlineStr">
        <is>
          <t>Contoso Cloud</t>
        </is>
      </c>
      <c r="F945" t="inlineStr">
        <is>
          <t>Contoso Cloud 2025-05</t>
        </is>
      </c>
      <c r="G945" t="inlineStr">
        <is>
          <t>6300</t>
        </is>
      </c>
      <c r="H945" t="inlineStr">
        <is>
          <t>Cloud Hosting</t>
        </is>
      </c>
      <c r="I945" t="inlineStr">
        <is>
          <t>Services</t>
        </is>
      </c>
      <c r="J945">
        <f>266.75</f>
        <v/>
      </c>
    </row>
    <row r="946">
      <c r="B946" t="inlineStr">
        <is>
          <t>05/09/2025</t>
        </is>
      </c>
      <c r="C946" t="inlineStr">
        <is>
          <t>Credit Card Charge</t>
        </is>
      </c>
      <c r="D946" t="inlineStr"/>
      <c r="E946" t="inlineStr">
        <is>
          <t>Contoso Cloud</t>
        </is>
      </c>
      <c r="F946" t="inlineStr">
        <is>
          <t>Contoso Cloud 2025-05</t>
        </is>
      </c>
      <c r="H946" t="inlineStr">
        <is>
          <t>Vantage Credit Card 3391</t>
        </is>
      </c>
      <c r="I946" t="inlineStr">
        <is>
          <t>Services</t>
        </is>
      </c>
      <c r="K946">
        <f>266.75</f>
        <v/>
      </c>
    </row>
    <row r="947">
      <c r="A947" t="inlineStr">
        <is>
          <t>Total for T-00214</t>
        </is>
      </c>
      <c r="J947">
        <f>J945</f>
        <v/>
      </c>
      <c r="K947">
        <f>K946</f>
        <v/>
      </c>
    </row>
    <row r="948"/>
    <row r="949">
      <c r="A949" t="inlineStr">
        <is>
          <t>T-00181</t>
        </is>
      </c>
    </row>
    <row r="950">
      <c r="B950" t="inlineStr">
        <is>
          <t>05/10/2025</t>
        </is>
      </c>
      <c r="C950" t="inlineStr">
        <is>
          <t>Invoice</t>
        </is>
      </c>
      <c r="D950" t="inlineStr">
        <is>
          <t>INV-1008</t>
        </is>
      </c>
      <c r="E950" t="inlineStr">
        <is>
          <t>Volt Dynamics Inc</t>
        </is>
      </c>
      <c r="F950" t="inlineStr">
        <is>
          <t>INV-1008 robot cell</t>
        </is>
      </c>
      <c r="G950" t="inlineStr">
        <is>
          <t>1100</t>
        </is>
      </c>
      <c r="H950" t="inlineStr">
        <is>
          <t>Accounts Receivable</t>
        </is>
      </c>
      <c r="I950" t="inlineStr">
        <is>
          <t>Product</t>
        </is>
      </c>
      <c r="J950">
        <f>37846.45</f>
        <v/>
      </c>
    </row>
    <row r="951">
      <c r="B951" t="inlineStr">
        <is>
          <t>05/10/2025</t>
        </is>
      </c>
      <c r="C951" t="inlineStr">
        <is>
          <t>Invoice</t>
        </is>
      </c>
      <c r="D951" t="inlineStr">
        <is>
          <t>INV-1008</t>
        </is>
      </c>
      <c r="E951" t="inlineStr">
        <is>
          <t>Volt Dynamics Inc</t>
        </is>
      </c>
      <c r="F951" t="inlineStr">
        <is>
          <t>INV-1008 robot cell</t>
        </is>
      </c>
      <c r="G951" t="inlineStr">
        <is>
          <t>4000</t>
        </is>
      </c>
      <c r="H951" t="inlineStr">
        <is>
          <t>Product Revenue</t>
        </is>
      </c>
      <c r="I951" t="inlineStr">
        <is>
          <t>Product</t>
        </is>
      </c>
      <c r="K951">
        <f>37846.45</f>
        <v/>
      </c>
    </row>
    <row r="952">
      <c r="A952" t="inlineStr">
        <is>
          <t>Total for T-00181</t>
        </is>
      </c>
      <c r="J952">
        <f>J950</f>
        <v/>
      </c>
      <c r="K952">
        <f>K951</f>
        <v/>
      </c>
    </row>
    <row r="953"/>
    <row r="954">
      <c r="A954" t="inlineStr">
        <is>
          <t>T-00182</t>
        </is>
      </c>
    </row>
    <row r="955">
      <c r="B955" t="inlineStr">
        <is>
          <t>05/10/2025</t>
        </is>
      </c>
      <c r="C955" t="inlineStr">
        <is>
          <t>Invoice</t>
        </is>
      </c>
      <c r="D955" t="inlineStr">
        <is>
          <t>INV-1009</t>
        </is>
      </c>
      <c r="E955" t="inlineStr">
        <is>
          <t>Volt Dynamics Inc</t>
        </is>
      </c>
      <c r="F955" t="inlineStr">
        <is>
          <t>INV-1009 support plan</t>
        </is>
      </c>
      <c r="G955" t="inlineStr">
        <is>
          <t>1100</t>
        </is>
      </c>
      <c r="H955" t="inlineStr">
        <is>
          <t>Accounts Receivable</t>
        </is>
      </c>
      <c r="I955" t="inlineStr">
        <is>
          <t>Services</t>
        </is>
      </c>
      <c r="J955">
        <f>7500.00</f>
        <v/>
      </c>
    </row>
    <row r="956">
      <c r="B956" t="inlineStr">
        <is>
          <t>05/10/2025</t>
        </is>
      </c>
      <c r="C956" t="inlineStr">
        <is>
          <t>Invoice</t>
        </is>
      </c>
      <c r="D956" t="inlineStr">
        <is>
          <t>INV-1009</t>
        </is>
      </c>
      <c r="E956" t="inlineStr">
        <is>
          <t>Volt Dynamics Inc</t>
        </is>
      </c>
      <c r="F956" t="inlineStr">
        <is>
          <t>INV-1009 support plan</t>
        </is>
      </c>
      <c r="G956" t="inlineStr">
        <is>
          <t>4100</t>
        </is>
      </c>
      <c r="H956" t="inlineStr">
        <is>
          <t>Service Revenue</t>
        </is>
      </c>
      <c r="I956" t="inlineStr">
        <is>
          <t>Services</t>
        </is>
      </c>
      <c r="K956">
        <f>7500.00</f>
        <v/>
      </c>
    </row>
    <row r="957">
      <c r="A957" t="inlineStr">
        <is>
          <t>Total for T-00182</t>
        </is>
      </c>
      <c r="J957">
        <f>J955</f>
        <v/>
      </c>
      <c r="K957">
        <f>K956</f>
        <v/>
      </c>
    </row>
    <row r="958"/>
    <row r="959">
      <c r="A959" t="inlineStr">
        <is>
          <t>T-00183</t>
        </is>
      </c>
    </row>
    <row r="960">
      <c r="B960" t="inlineStr">
        <is>
          <t>05/10/2025</t>
        </is>
      </c>
      <c r="C960" t="inlineStr">
        <is>
          <t>Payment</t>
        </is>
      </c>
      <c r="D960" t="inlineStr"/>
      <c r="E960" t="inlineStr">
        <is>
          <t>Corvus Labs Inc</t>
        </is>
      </c>
      <c r="F960" t="inlineStr">
        <is>
          <t>Payment on INV-1006</t>
        </is>
      </c>
      <c r="G960" t="inlineStr">
        <is>
          <t>1010</t>
        </is>
      </c>
      <c r="H960" t="inlineStr">
        <is>
          <t>Northgate Checking 7742</t>
        </is>
      </c>
      <c r="I960" t="inlineStr">
        <is>
          <t>Overhead</t>
        </is>
      </c>
      <c r="J960">
        <f>37063.32</f>
        <v/>
      </c>
    </row>
    <row r="961">
      <c r="B961" t="inlineStr">
        <is>
          <t>05/10/2025</t>
        </is>
      </c>
      <c r="C961" t="inlineStr">
        <is>
          <t>Payment</t>
        </is>
      </c>
      <c r="D961" t="inlineStr"/>
      <c r="E961" t="inlineStr">
        <is>
          <t>Corvus Labs Inc</t>
        </is>
      </c>
      <c r="F961" t="inlineStr">
        <is>
          <t>Payment on INV-1006</t>
        </is>
      </c>
      <c r="G961" t="inlineStr">
        <is>
          <t>1100</t>
        </is>
      </c>
      <c r="H961" t="inlineStr">
        <is>
          <t>Accounts Receivable</t>
        </is>
      </c>
      <c r="I961" t="inlineStr">
        <is>
          <t>Overhead</t>
        </is>
      </c>
      <c r="K961">
        <f>37063.32</f>
        <v/>
      </c>
    </row>
    <row r="962">
      <c r="A962" t="inlineStr">
        <is>
          <t>Total for T-00183</t>
        </is>
      </c>
      <c r="J962">
        <f>J960</f>
        <v/>
      </c>
      <c r="K962">
        <f>K961</f>
        <v/>
      </c>
    </row>
    <row r="963"/>
    <row r="964">
      <c r="A964" t="inlineStr">
        <is>
          <t>T-00184</t>
        </is>
      </c>
    </row>
    <row r="965">
      <c r="B965" t="inlineStr">
        <is>
          <t>05/10/2025</t>
        </is>
      </c>
      <c r="C965" t="inlineStr">
        <is>
          <t>Payment</t>
        </is>
      </c>
      <c r="D965" t="inlineStr"/>
      <c r="E965" t="inlineStr">
        <is>
          <t>Corvus Labs Inc</t>
        </is>
      </c>
      <c r="F965" t="inlineStr">
        <is>
          <t>Payment on INV-1007</t>
        </is>
      </c>
      <c r="G965" t="inlineStr">
        <is>
          <t>1010</t>
        </is>
      </c>
      <c r="H965" t="inlineStr">
        <is>
          <t>Northgate Checking 7742</t>
        </is>
      </c>
      <c r="I965" t="inlineStr">
        <is>
          <t>Overhead</t>
        </is>
      </c>
      <c r="J965">
        <f>7250.00</f>
        <v/>
      </c>
    </row>
    <row r="966">
      <c r="B966" t="inlineStr">
        <is>
          <t>05/10/2025</t>
        </is>
      </c>
      <c r="C966" t="inlineStr">
        <is>
          <t>Payment</t>
        </is>
      </c>
      <c r="D966" t="inlineStr"/>
      <c r="E966" t="inlineStr">
        <is>
          <t>Corvus Labs Inc</t>
        </is>
      </c>
      <c r="F966" t="inlineStr">
        <is>
          <t>Payment on INV-1007</t>
        </is>
      </c>
      <c r="G966" t="inlineStr">
        <is>
          <t>1100</t>
        </is>
      </c>
      <c r="H966" t="inlineStr">
        <is>
          <t>Accounts Receivable</t>
        </is>
      </c>
      <c r="I966" t="inlineStr">
        <is>
          <t>Overhead</t>
        </is>
      </c>
      <c r="K966">
        <f>7250.00</f>
        <v/>
      </c>
    </row>
    <row r="967">
      <c r="A967" t="inlineStr">
        <is>
          <t>Total for T-00184</t>
        </is>
      </c>
      <c r="J967">
        <f>J965</f>
        <v/>
      </c>
      <c r="K967">
        <f>K966</f>
        <v/>
      </c>
    </row>
    <row r="968"/>
    <row r="969">
      <c r="A969" t="inlineStr">
        <is>
          <t>T-00215</t>
        </is>
      </c>
    </row>
    <row r="970">
      <c r="B970" t="inlineStr">
        <is>
          <t>05/10/2025</t>
        </is>
      </c>
      <c r="C970" t="inlineStr">
        <is>
          <t>Expense</t>
        </is>
      </c>
      <c r="D970" t="inlineStr"/>
      <c r="E970" t="inlineStr">
        <is>
          <t>Litware Legal</t>
        </is>
      </c>
      <c r="F970" t="inlineStr">
        <is>
          <t>Litware Legal invoice 97657</t>
        </is>
      </c>
      <c r="G970" t="inlineStr">
        <is>
          <t>6800</t>
        </is>
      </c>
      <c r="H970" t="inlineStr">
        <is>
          <t>Professional Fees</t>
        </is>
      </c>
      <c r="I970" t="inlineStr">
        <is>
          <t>Overhead</t>
        </is>
      </c>
      <c r="J970">
        <f>622.05</f>
        <v/>
      </c>
    </row>
    <row r="971">
      <c r="B971" t="inlineStr">
        <is>
          <t>05/10/2025</t>
        </is>
      </c>
      <c r="C971" t="inlineStr">
        <is>
          <t>Expense</t>
        </is>
      </c>
      <c r="D971" t="inlineStr"/>
      <c r="E971" t="inlineStr">
        <is>
          <t>Litware Legal</t>
        </is>
      </c>
      <c r="F971" t="inlineStr">
        <is>
          <t>Litware Legal invoice 97657</t>
        </is>
      </c>
      <c r="G971" t="inlineStr">
        <is>
          <t>1010</t>
        </is>
      </c>
      <c r="H971" t="inlineStr">
        <is>
          <t>Northgate Checking 7742</t>
        </is>
      </c>
      <c r="I971" t="inlineStr">
        <is>
          <t>Overhead</t>
        </is>
      </c>
      <c r="K971">
        <f>622.05</f>
        <v/>
      </c>
    </row>
    <row r="972">
      <c r="A972" t="inlineStr">
        <is>
          <t>Total for T-00215</t>
        </is>
      </c>
      <c r="J972">
        <f>J970</f>
        <v/>
      </c>
      <c r="K972">
        <f>K971</f>
        <v/>
      </c>
    </row>
    <row r="973"/>
    <row r="974">
      <c r="A974" t="inlineStr">
        <is>
          <t>T-00185</t>
        </is>
      </c>
    </row>
    <row r="975">
      <c r="B975" t="inlineStr">
        <is>
          <t>05/12/2025</t>
        </is>
      </c>
      <c r="C975" t="inlineStr">
        <is>
          <t>Bill Payment</t>
        </is>
      </c>
      <c r="D975" t="inlineStr"/>
      <c r="E975" t="inlineStr">
        <is>
          <t>Northwind Supply</t>
        </is>
      </c>
      <c r="F975" t="inlineStr">
        <is>
          <t>Payment on NWS-4403</t>
        </is>
      </c>
      <c r="G975" t="inlineStr">
        <is>
          <t>2010</t>
        </is>
      </c>
      <c r="H975" t="inlineStr">
        <is>
          <t>Accounts Payable</t>
        </is>
      </c>
      <c r="I975" t="inlineStr">
        <is>
          <t>Product</t>
        </is>
      </c>
      <c r="J975">
        <f>10628.94</f>
        <v/>
      </c>
    </row>
    <row r="976">
      <c r="B976" t="inlineStr">
        <is>
          <t>05/12/2025</t>
        </is>
      </c>
      <c r="C976" t="inlineStr">
        <is>
          <t>Bill Payment</t>
        </is>
      </c>
      <c r="D976" t="inlineStr"/>
      <c r="E976" t="inlineStr">
        <is>
          <t>Northwind Supply</t>
        </is>
      </c>
      <c r="F976" t="inlineStr">
        <is>
          <t>Payment on NWS-4403</t>
        </is>
      </c>
      <c r="G976" t="inlineStr">
        <is>
          <t>1010</t>
        </is>
      </c>
      <c r="H976" t="inlineStr">
        <is>
          <t>Northgate Checking 7742</t>
        </is>
      </c>
      <c r="I976" t="inlineStr">
        <is>
          <t>Product</t>
        </is>
      </c>
      <c r="K976">
        <f>10628.94</f>
        <v/>
      </c>
    </row>
    <row r="977">
      <c r="A977" t="inlineStr">
        <is>
          <t>Total for T-00185</t>
        </is>
      </c>
      <c r="J977">
        <f>J975</f>
        <v/>
      </c>
      <c r="K977">
        <f>K976</f>
        <v/>
      </c>
    </row>
    <row r="978"/>
    <row r="979">
      <c r="A979" t="inlineStr">
        <is>
          <t>T-00202</t>
        </is>
      </c>
    </row>
    <row r="980">
      <c r="B980" t="inlineStr">
        <is>
          <t>05/12/2025</t>
        </is>
      </c>
      <c r="C980" t="inlineStr">
        <is>
          <t>Expense</t>
        </is>
      </c>
      <c r="D980" t="inlineStr"/>
      <c r="E980" t="inlineStr">
        <is>
          <t>Litware Legal</t>
        </is>
      </c>
      <c r="F980" t="inlineStr">
        <is>
          <t>Litware Legal invoice 19938</t>
        </is>
      </c>
      <c r="G980" t="inlineStr">
        <is>
          <t>6800</t>
        </is>
      </c>
      <c r="H980" t="inlineStr">
        <is>
          <t>Professional Fees</t>
        </is>
      </c>
      <c r="I980" t="inlineStr">
        <is>
          <t>Overhead</t>
        </is>
      </c>
      <c r="J980">
        <f>2204.70</f>
        <v/>
      </c>
    </row>
    <row r="981">
      <c r="B981" t="inlineStr">
        <is>
          <t>05/12/2025</t>
        </is>
      </c>
      <c r="C981" t="inlineStr">
        <is>
          <t>Expense</t>
        </is>
      </c>
      <c r="D981" t="inlineStr"/>
      <c r="E981" t="inlineStr">
        <is>
          <t>Litware Legal</t>
        </is>
      </c>
      <c r="F981" t="inlineStr">
        <is>
          <t>Litware Legal invoice 19938</t>
        </is>
      </c>
      <c r="G981" t="inlineStr">
        <is>
          <t>1010</t>
        </is>
      </c>
      <c r="H981" t="inlineStr">
        <is>
          <t>Northgate Checking 7742</t>
        </is>
      </c>
      <c r="I981" t="inlineStr">
        <is>
          <t>Overhead</t>
        </is>
      </c>
      <c r="K981">
        <f>2204.70</f>
        <v/>
      </c>
    </row>
    <row r="982">
      <c r="A982" t="inlineStr">
        <is>
          <t>Total for T-00202</t>
        </is>
      </c>
      <c r="J982">
        <f>J980</f>
        <v/>
      </c>
      <c r="K982">
        <f>K981</f>
        <v/>
      </c>
    </row>
    <row r="983"/>
    <row r="984">
      <c r="A984" t="inlineStr">
        <is>
          <t>T-00208</t>
        </is>
      </c>
    </row>
    <row r="985">
      <c r="B985" t="inlineStr">
        <is>
          <t>05/12/2025</t>
        </is>
      </c>
      <c r="C985" t="inlineStr">
        <is>
          <t>Expense</t>
        </is>
      </c>
      <c r="D985" t="inlineStr"/>
      <c r="E985" t="inlineStr">
        <is>
          <t>Quartz CAD Services</t>
        </is>
      </c>
      <c r="F985" t="inlineStr">
        <is>
          <t>Quartz CAD Services invoice 49132</t>
        </is>
      </c>
      <c r="G985" t="inlineStr">
        <is>
          <t>6100</t>
        </is>
      </c>
      <c r="H985" t="inlineStr">
        <is>
          <t>Contract Engineering</t>
        </is>
      </c>
      <c r="I985" t="inlineStr">
        <is>
          <t>Product</t>
        </is>
      </c>
      <c r="J985">
        <f>314.47</f>
        <v/>
      </c>
    </row>
    <row r="986">
      <c r="B986" t="inlineStr">
        <is>
          <t>05/12/2025</t>
        </is>
      </c>
      <c r="C986" t="inlineStr">
        <is>
          <t>Expense</t>
        </is>
      </c>
      <c r="D986" t="inlineStr"/>
      <c r="E986" t="inlineStr">
        <is>
          <t>Quartz CAD Services</t>
        </is>
      </c>
      <c r="F986" t="inlineStr">
        <is>
          <t>Quartz CAD Services invoice 49132</t>
        </is>
      </c>
      <c r="G986" t="inlineStr">
        <is>
          <t>1010</t>
        </is>
      </c>
      <c r="H986" t="inlineStr">
        <is>
          <t>Northgate Checking 7742</t>
        </is>
      </c>
      <c r="I986" t="inlineStr">
        <is>
          <t>Product</t>
        </is>
      </c>
      <c r="K986">
        <f>314.47</f>
        <v/>
      </c>
    </row>
    <row r="987">
      <c r="A987" t="inlineStr">
        <is>
          <t>Total for T-00208</t>
        </is>
      </c>
      <c r="J987">
        <f>J985</f>
        <v/>
      </c>
      <c r="K987">
        <f>K986</f>
        <v/>
      </c>
    </row>
    <row r="988"/>
    <row r="989">
      <c r="A989" t="inlineStr">
        <is>
          <t>T-00221</t>
        </is>
      </c>
    </row>
    <row r="990">
      <c r="B990" t="inlineStr">
        <is>
          <t>05/14/2025</t>
        </is>
      </c>
      <c r="C990" t="inlineStr">
        <is>
          <t>Expense</t>
        </is>
      </c>
      <c r="D990" t="inlineStr"/>
      <c r="E990" t="inlineStr">
        <is>
          <t>Litware Legal</t>
        </is>
      </c>
      <c r="F990" t="inlineStr">
        <is>
          <t>Litware Legal invoice 58203</t>
        </is>
      </c>
      <c r="G990" t="inlineStr">
        <is>
          <t>6800</t>
        </is>
      </c>
      <c r="H990" t="inlineStr">
        <is>
          <t>Professional Fees</t>
        </is>
      </c>
      <c r="I990" t="inlineStr">
        <is>
          <t>Overhead</t>
        </is>
      </c>
      <c r="J990">
        <f>1618.44</f>
        <v/>
      </c>
    </row>
    <row r="991">
      <c r="B991" t="inlineStr">
        <is>
          <t>05/14/2025</t>
        </is>
      </c>
      <c r="C991" t="inlineStr">
        <is>
          <t>Expense</t>
        </is>
      </c>
      <c r="D991" t="inlineStr"/>
      <c r="E991" t="inlineStr">
        <is>
          <t>Litware Legal</t>
        </is>
      </c>
      <c r="F991" t="inlineStr">
        <is>
          <t>Litware Legal invoice 58203</t>
        </is>
      </c>
      <c r="G991" t="inlineStr">
        <is>
          <t>1010</t>
        </is>
      </c>
      <c r="H991" t="inlineStr">
        <is>
          <t>Northgate Checking 7742</t>
        </is>
      </c>
      <c r="I991" t="inlineStr">
        <is>
          <t>Overhead</t>
        </is>
      </c>
      <c r="K991">
        <f>1618.44</f>
        <v/>
      </c>
    </row>
    <row r="992">
      <c r="A992" t="inlineStr">
        <is>
          <t>Total for T-00221</t>
        </is>
      </c>
      <c r="J992">
        <f>J990</f>
        <v/>
      </c>
      <c r="K992">
        <f>K991</f>
        <v/>
      </c>
    </row>
    <row r="993"/>
    <row r="994">
      <c r="A994" t="inlineStr">
        <is>
          <t>T-00187</t>
        </is>
      </c>
    </row>
    <row r="995">
      <c r="B995" t="inlineStr">
        <is>
          <t>05/15/2025</t>
        </is>
      </c>
      <c r="C995" t="inlineStr">
        <is>
          <t>Expense</t>
        </is>
      </c>
      <c r="D995" t="inlineStr"/>
      <c r="E995" t="inlineStr">
        <is>
          <t>Proseware Payroll</t>
        </is>
      </c>
      <c r="F995" t="inlineStr">
        <is>
          <t>Payroll 2025-05-15 gross wages</t>
        </is>
      </c>
      <c r="G995" t="inlineStr">
        <is>
          <t>6000</t>
        </is>
      </c>
      <c r="H995" t="inlineStr">
        <is>
          <t>Salaries and Wages</t>
        </is>
      </c>
      <c r="I995" t="inlineStr">
        <is>
          <t>Overhead</t>
        </is>
      </c>
      <c r="J995">
        <f>20800.00</f>
        <v/>
      </c>
    </row>
    <row r="996">
      <c r="B996" t="inlineStr">
        <is>
          <t>05/15/2025</t>
        </is>
      </c>
      <c r="C996" t="inlineStr">
        <is>
          <t>Expense</t>
        </is>
      </c>
      <c r="D996" t="inlineStr"/>
      <c r="E996" t="inlineStr">
        <is>
          <t>Proseware Payroll</t>
        </is>
      </c>
      <c r="F996" t="inlineStr">
        <is>
          <t>Payroll 2025-05-15 employer taxes</t>
        </is>
      </c>
      <c r="G996" t="inlineStr">
        <is>
          <t>6010</t>
        </is>
      </c>
      <c r="H996" t="inlineStr">
        <is>
          <t>Payroll Taxes</t>
        </is>
      </c>
      <c r="I996" t="inlineStr">
        <is>
          <t>Overhead</t>
        </is>
      </c>
      <c r="J996">
        <f>1591.20</f>
        <v/>
      </c>
    </row>
    <row r="997">
      <c r="B997" t="inlineStr">
        <is>
          <t>05/15/2025</t>
        </is>
      </c>
      <c r="C997" t="inlineStr">
        <is>
          <t>Expense</t>
        </is>
      </c>
      <c r="D997" t="inlineStr"/>
      <c r="E997" t="inlineStr">
        <is>
          <t>Proseware Payroll</t>
        </is>
      </c>
      <c r="F997" t="inlineStr">
        <is>
          <t>Proseware payroll debit 2025-05-15</t>
        </is>
      </c>
      <c r="G997" t="inlineStr">
        <is>
          <t>1010</t>
        </is>
      </c>
      <c r="H997" t="inlineStr">
        <is>
          <t>Northgate Checking 7742</t>
        </is>
      </c>
      <c r="I997" t="inlineStr">
        <is>
          <t>Overhead</t>
        </is>
      </c>
      <c r="K997">
        <f>22391.20</f>
        <v/>
      </c>
    </row>
    <row r="998">
      <c r="A998" t="inlineStr">
        <is>
          <t>Total for T-00187</t>
        </is>
      </c>
      <c r="J998">
        <f>J995+J996</f>
        <v/>
      </c>
      <c r="K998">
        <f>K997</f>
        <v/>
      </c>
    </row>
    <row r="999"/>
    <row r="1000">
      <c r="A1000" t="inlineStr">
        <is>
          <t>T-00189</t>
        </is>
      </c>
    </row>
    <row r="1001">
      <c r="B1001" t="inlineStr">
        <is>
          <t>05/15/2025</t>
        </is>
      </c>
      <c r="C1001" t="inlineStr">
        <is>
          <t>Deposit</t>
        </is>
      </c>
      <c r="D1001" t="inlineStr"/>
      <c r="E1001" t="inlineStr">
        <is>
          <t>Paylane</t>
        </is>
      </c>
      <c r="F1001" t="inlineStr">
        <is>
          <t>Paylane payout 2025-05 #1</t>
        </is>
      </c>
      <c r="G1001" t="inlineStr">
        <is>
          <t>1010</t>
        </is>
      </c>
      <c r="H1001" t="inlineStr">
        <is>
          <t>Northgate Checking 7742</t>
        </is>
      </c>
      <c r="I1001" t="inlineStr">
        <is>
          <t>Product</t>
        </is>
      </c>
      <c r="J1001">
        <f>15626.32</f>
        <v/>
      </c>
    </row>
    <row r="1002">
      <c r="B1002" t="inlineStr">
        <is>
          <t>05/15/2025</t>
        </is>
      </c>
      <c r="C1002" t="inlineStr">
        <is>
          <t>Deposit</t>
        </is>
      </c>
      <c r="D1002" t="inlineStr"/>
      <c r="E1002" t="inlineStr">
        <is>
          <t>Paylane</t>
        </is>
      </c>
      <c r="F1002" t="inlineStr">
        <is>
          <t>Paylane payout 2025-05 #1</t>
        </is>
      </c>
      <c r="G1002" t="inlineStr">
        <is>
          <t>1200</t>
        </is>
      </c>
      <c r="H1002" t="inlineStr">
        <is>
          <t>Paylane Clearing</t>
        </is>
      </c>
      <c r="I1002" t="inlineStr">
        <is>
          <t>Product</t>
        </is>
      </c>
      <c r="K1002">
        <f>15626.32</f>
        <v/>
      </c>
    </row>
    <row r="1003">
      <c r="A1003" t="inlineStr">
        <is>
          <t>Total for T-00189</t>
        </is>
      </c>
      <c r="J1003">
        <f>J1001</f>
        <v/>
      </c>
      <c r="K1003">
        <f>K1002</f>
        <v/>
      </c>
    </row>
    <row r="1004"/>
    <row r="1005">
      <c r="A1005" t="inlineStr">
        <is>
          <t>T-00206</t>
        </is>
      </c>
    </row>
    <row r="1006">
      <c r="B1006" t="inlineStr">
        <is>
          <t>05/15/2025</t>
        </is>
      </c>
      <c r="C1006" t="inlineStr">
        <is>
          <t>Expense</t>
        </is>
      </c>
      <c r="D1006" t="inlineStr"/>
      <c r="E1006" t="inlineStr">
        <is>
          <t>Bluepeak Engineering</t>
        </is>
      </c>
      <c r="F1006" t="inlineStr">
        <is>
          <t>Bluepeak Engineering invoice 84438</t>
        </is>
      </c>
      <c r="G1006" t="inlineStr">
        <is>
          <t>6100</t>
        </is>
      </c>
      <c r="H1006" t="inlineStr">
        <is>
          <t>Contract Engineering</t>
        </is>
      </c>
      <c r="I1006" t="inlineStr">
        <is>
          <t>Product</t>
        </is>
      </c>
      <c r="J1006">
        <f>1114.06</f>
        <v/>
      </c>
    </row>
    <row r="1007">
      <c r="B1007" t="inlineStr">
        <is>
          <t>05/15/2025</t>
        </is>
      </c>
      <c r="C1007" t="inlineStr">
        <is>
          <t>Expense</t>
        </is>
      </c>
      <c r="D1007" t="inlineStr"/>
      <c r="E1007" t="inlineStr">
        <is>
          <t>Bluepeak Engineering</t>
        </is>
      </c>
      <c r="F1007" t="inlineStr">
        <is>
          <t>Bluepeak Engineering invoice 84438</t>
        </is>
      </c>
      <c r="G1007" t="inlineStr">
        <is>
          <t>1010</t>
        </is>
      </c>
      <c r="H1007" t="inlineStr">
        <is>
          <t>Northgate Checking 7742</t>
        </is>
      </c>
      <c r="I1007" t="inlineStr">
        <is>
          <t>Product</t>
        </is>
      </c>
      <c r="K1007">
        <f>1114.06</f>
        <v/>
      </c>
    </row>
    <row r="1008">
      <c r="A1008" t="inlineStr">
        <is>
          <t>Total for T-00206</t>
        </is>
      </c>
      <c r="J1008">
        <f>J1006</f>
        <v/>
      </c>
      <c r="K1008">
        <f>K1007</f>
        <v/>
      </c>
    </row>
    <row r="1009"/>
    <row r="1010">
      <c r="A1010" t="inlineStr">
        <is>
          <t>T-00218</t>
        </is>
      </c>
    </row>
    <row r="1011">
      <c r="B1011" t="inlineStr">
        <is>
          <t>05/15/2025</t>
        </is>
      </c>
      <c r="C1011" t="inlineStr">
        <is>
          <t>Expense</t>
        </is>
      </c>
      <c r="D1011" t="inlineStr"/>
      <c r="E1011" t="inlineStr">
        <is>
          <t>Quartz CAD Services</t>
        </is>
      </c>
      <c r="F1011" t="inlineStr">
        <is>
          <t>Quartz CAD Services invoice 83316</t>
        </is>
      </c>
      <c r="G1011" t="inlineStr">
        <is>
          <t>6100</t>
        </is>
      </c>
      <c r="H1011" t="inlineStr">
        <is>
          <t>Contract Engineering</t>
        </is>
      </c>
      <c r="I1011" t="inlineStr">
        <is>
          <t>Product</t>
        </is>
      </c>
      <c r="J1011">
        <f>410.85</f>
        <v/>
      </c>
    </row>
    <row r="1012">
      <c r="B1012" t="inlineStr">
        <is>
          <t>05/15/2025</t>
        </is>
      </c>
      <c r="C1012" t="inlineStr">
        <is>
          <t>Expense</t>
        </is>
      </c>
      <c r="D1012" t="inlineStr"/>
      <c r="E1012" t="inlineStr">
        <is>
          <t>Quartz CAD Services</t>
        </is>
      </c>
      <c r="F1012" t="inlineStr">
        <is>
          <t>Quartz CAD Services invoice 83316</t>
        </is>
      </c>
      <c r="G1012" t="inlineStr">
        <is>
          <t>1010</t>
        </is>
      </c>
      <c r="H1012" t="inlineStr">
        <is>
          <t>Northgate Checking 7742</t>
        </is>
      </c>
      <c r="I1012" t="inlineStr">
        <is>
          <t>Product</t>
        </is>
      </c>
      <c r="K1012">
        <f>410.85</f>
        <v/>
      </c>
    </row>
    <row r="1013">
      <c r="A1013" t="inlineStr">
        <is>
          <t>Total for T-00218</t>
        </is>
      </c>
      <c r="J1013">
        <f>J1011</f>
        <v/>
      </c>
      <c r="K1013">
        <f>K1012</f>
        <v/>
      </c>
    </row>
    <row r="1014"/>
    <row r="1015">
      <c r="A1015" t="inlineStr">
        <is>
          <t>T-00198</t>
        </is>
      </c>
    </row>
    <row r="1016">
      <c r="B1016" t="inlineStr">
        <is>
          <t>05/17/2025</t>
        </is>
      </c>
      <c r="C1016" t="inlineStr">
        <is>
          <t>Credit Card Charge</t>
        </is>
      </c>
      <c r="D1016" t="inlineStr"/>
      <c r="E1016" t="inlineStr">
        <is>
          <t>Metro Rideshare</t>
        </is>
      </c>
      <c r="F1016" t="inlineStr">
        <is>
          <t>Metro Rideshare 2025-05</t>
        </is>
      </c>
      <c r="G1016" t="inlineStr">
        <is>
          <t>6900</t>
        </is>
      </c>
      <c r="H1016" t="inlineStr">
        <is>
          <t>Travel and Meals</t>
        </is>
      </c>
      <c r="I1016" t="inlineStr">
        <is>
          <t>Overhead</t>
        </is>
      </c>
      <c r="J1016">
        <f>26.85</f>
        <v/>
      </c>
    </row>
    <row r="1017">
      <c r="B1017" t="inlineStr">
        <is>
          <t>05/17/2025</t>
        </is>
      </c>
      <c r="C1017" t="inlineStr">
        <is>
          <t>Credit Card Charge</t>
        </is>
      </c>
      <c r="D1017" t="inlineStr"/>
      <c r="E1017" t="inlineStr">
        <is>
          <t>Metro Rideshare</t>
        </is>
      </c>
      <c r="F1017" t="inlineStr">
        <is>
          <t>Metro Rideshare 2025-05</t>
        </is>
      </c>
      <c r="H1017" t="inlineStr">
        <is>
          <t>Vantage Credit Card 3391</t>
        </is>
      </c>
      <c r="I1017" t="inlineStr">
        <is>
          <t>Overhead</t>
        </is>
      </c>
      <c r="K1017">
        <f>26.85</f>
        <v/>
      </c>
    </row>
    <row r="1018">
      <c r="A1018" t="inlineStr">
        <is>
          <t>Total for T-00198</t>
        </is>
      </c>
      <c r="J1018">
        <f>J1016</f>
        <v/>
      </c>
      <c r="K1018">
        <f>K1017</f>
        <v/>
      </c>
    </row>
    <row r="1019"/>
    <row r="1020">
      <c r="A1020" t="inlineStr">
        <is>
          <t>T-00192</t>
        </is>
      </c>
    </row>
    <row r="1021">
      <c r="B1021" t="inlineStr">
        <is>
          <t>05/18/2025</t>
        </is>
      </c>
      <c r="C1021" t="inlineStr">
        <is>
          <t>Expense</t>
        </is>
      </c>
      <c r="D1021" t="inlineStr"/>
      <c r="E1021" t="inlineStr">
        <is>
          <t>Trey Research</t>
        </is>
      </c>
      <c r="F1021" t="inlineStr">
        <is>
          <t>Trey Research monthly engagement</t>
        </is>
      </c>
      <c r="G1021" t="inlineStr">
        <is>
          <t>6600</t>
        </is>
      </c>
      <c r="H1021" t="inlineStr">
        <is>
          <t>Marketing and Advertising</t>
        </is>
      </c>
      <c r="I1021" t="inlineStr">
        <is>
          <t>Overhead</t>
        </is>
      </c>
      <c r="J1021">
        <f>3886.86</f>
        <v/>
      </c>
    </row>
    <row r="1022">
      <c r="B1022" t="inlineStr">
        <is>
          <t>05/18/2025</t>
        </is>
      </c>
      <c r="C1022" t="inlineStr">
        <is>
          <t>Expense</t>
        </is>
      </c>
      <c r="D1022" t="inlineStr"/>
      <c r="E1022" t="inlineStr">
        <is>
          <t>Trey Research</t>
        </is>
      </c>
      <c r="F1022" t="inlineStr">
        <is>
          <t>Trey Research monthly engagement</t>
        </is>
      </c>
      <c r="G1022" t="inlineStr">
        <is>
          <t>1010</t>
        </is>
      </c>
      <c r="H1022" t="inlineStr">
        <is>
          <t>Northgate Checking 7742</t>
        </is>
      </c>
      <c r="I1022" t="inlineStr">
        <is>
          <t>Overhead</t>
        </is>
      </c>
      <c r="K1022">
        <f>3886.86</f>
        <v/>
      </c>
    </row>
    <row r="1023">
      <c r="A1023" t="inlineStr">
        <is>
          <t>Total for T-00192</t>
        </is>
      </c>
      <c r="J1023">
        <f>J1021</f>
        <v/>
      </c>
      <c r="K1023">
        <f>K1022</f>
        <v/>
      </c>
    </row>
    <row r="1024"/>
    <row r="1025">
      <c r="A1025" t="inlineStr">
        <is>
          <t>T-00217</t>
        </is>
      </c>
    </row>
    <row r="1026">
      <c r="B1026" t="inlineStr">
        <is>
          <t>05/18/2025</t>
        </is>
      </c>
      <c r="C1026" t="inlineStr">
        <is>
          <t>Credit Card Charge</t>
        </is>
      </c>
      <c r="D1026" t="inlineStr"/>
      <c r="E1026" t="inlineStr">
        <is>
          <t>Harbor Diner</t>
        </is>
      </c>
      <c r="F1026" t="inlineStr">
        <is>
          <t>Harbor Diner 2025-05</t>
        </is>
      </c>
      <c r="G1026" t="inlineStr">
        <is>
          <t>6900</t>
        </is>
      </c>
      <c r="H1026" t="inlineStr">
        <is>
          <t>Travel and Meals</t>
        </is>
      </c>
      <c r="I1026" t="inlineStr">
        <is>
          <t>Overhead</t>
        </is>
      </c>
      <c r="J1026">
        <f>146.21</f>
        <v/>
      </c>
    </row>
    <row r="1027">
      <c r="B1027" t="inlineStr">
        <is>
          <t>05/18/2025</t>
        </is>
      </c>
      <c r="C1027" t="inlineStr">
        <is>
          <t>Credit Card Charge</t>
        </is>
      </c>
      <c r="D1027" t="inlineStr"/>
      <c r="E1027" t="inlineStr">
        <is>
          <t>Harbor Diner</t>
        </is>
      </c>
      <c r="F1027" t="inlineStr">
        <is>
          <t>Harbor Diner 2025-05</t>
        </is>
      </c>
      <c r="H1027" t="inlineStr">
        <is>
          <t>Vantage Credit Card 3391</t>
        </is>
      </c>
      <c r="I1027" t="inlineStr">
        <is>
          <t>Overhead</t>
        </is>
      </c>
      <c r="K1027">
        <f>146.21</f>
        <v/>
      </c>
    </row>
    <row r="1028">
      <c r="A1028" t="inlineStr">
        <is>
          <t>Total for T-00217</t>
        </is>
      </c>
      <c r="J1028">
        <f>J1026</f>
        <v/>
      </c>
      <c r="K1028">
        <f>K1027</f>
        <v/>
      </c>
    </row>
    <row r="1029"/>
    <row r="1030">
      <c r="A1030" t="inlineStr">
        <is>
          <t>T-00207</t>
        </is>
      </c>
    </row>
    <row r="1031">
      <c r="B1031" t="inlineStr">
        <is>
          <t>05/19/2025</t>
        </is>
      </c>
      <c r="C1031" t="inlineStr">
        <is>
          <t>Credit Card Charge</t>
        </is>
      </c>
      <c r="D1031" t="inlineStr"/>
      <c r="E1031" t="inlineStr">
        <is>
          <t>Contoso Cloud</t>
        </is>
      </c>
      <c r="F1031" t="inlineStr">
        <is>
          <t>Contoso Cloud 2025-05</t>
        </is>
      </c>
      <c r="G1031" t="inlineStr">
        <is>
          <t>6300</t>
        </is>
      </c>
      <c r="H1031" t="inlineStr">
        <is>
          <t>Cloud Hosting</t>
        </is>
      </c>
      <c r="I1031" t="inlineStr">
        <is>
          <t>Services</t>
        </is>
      </c>
      <c r="J1031">
        <f>1311.86</f>
        <v/>
      </c>
    </row>
    <row r="1032">
      <c r="B1032" t="inlineStr">
        <is>
          <t>05/19/2025</t>
        </is>
      </c>
      <c r="C1032" t="inlineStr">
        <is>
          <t>Credit Card Charge</t>
        </is>
      </c>
      <c r="D1032" t="inlineStr"/>
      <c r="E1032" t="inlineStr">
        <is>
          <t>Contoso Cloud</t>
        </is>
      </c>
      <c r="F1032" t="inlineStr">
        <is>
          <t>Contoso Cloud 2025-05</t>
        </is>
      </c>
      <c r="H1032" t="inlineStr">
        <is>
          <t>Vantage Credit Card 3391</t>
        </is>
      </c>
      <c r="I1032" t="inlineStr">
        <is>
          <t>Services</t>
        </is>
      </c>
      <c r="K1032">
        <f>1311.86</f>
        <v/>
      </c>
    </row>
    <row r="1033">
      <c r="A1033" t="inlineStr">
        <is>
          <t>Total for T-00207</t>
        </is>
      </c>
      <c r="J1033">
        <f>J1031</f>
        <v/>
      </c>
      <c r="K1033">
        <f>K1032</f>
        <v/>
      </c>
    </row>
    <row r="1034"/>
    <row r="1035">
      <c r="A1035" t="inlineStr">
        <is>
          <t>T-00175</t>
        </is>
      </c>
    </row>
    <row r="1036">
      <c r="B1036" t="inlineStr">
        <is>
          <t>05/20/2025</t>
        </is>
      </c>
      <c r="C1036" t="inlineStr">
        <is>
          <t>Deposit</t>
        </is>
      </c>
      <c r="D1036" t="inlineStr"/>
      <c r="E1036" t="inlineStr">
        <is>
          <t>Cedarline Partners</t>
        </is>
      </c>
      <c r="F1036" t="inlineStr">
        <is>
          <t>SAFE, 12,000,000 post-money cap</t>
        </is>
      </c>
      <c r="G1036" t="inlineStr">
        <is>
          <t>1010</t>
        </is>
      </c>
      <c r="H1036" t="inlineStr">
        <is>
          <t>Northgate Checking 7742</t>
        </is>
      </c>
      <c r="I1036" t="inlineStr">
        <is>
          <t>Overhead</t>
        </is>
      </c>
      <c r="J1036">
        <f>250000.00</f>
        <v/>
      </c>
    </row>
    <row r="1037">
      <c r="B1037" t="inlineStr">
        <is>
          <t>05/20/2025</t>
        </is>
      </c>
      <c r="C1037" t="inlineStr">
        <is>
          <t>Deposit</t>
        </is>
      </c>
      <c r="D1037" t="inlineStr"/>
      <c r="E1037" t="inlineStr">
        <is>
          <t>Cedarline Partners</t>
        </is>
      </c>
      <c r="F1037" t="inlineStr">
        <is>
          <t>SAFE, 12,000,000 post-money cap</t>
        </is>
      </c>
      <c r="G1037" t="inlineStr">
        <is>
          <t>3300</t>
        </is>
      </c>
      <c r="H1037" t="inlineStr">
        <is>
          <t>SAFE - Simple Agreement for Future Equity</t>
        </is>
      </c>
      <c r="I1037" t="inlineStr">
        <is>
          <t>Overhead</t>
        </is>
      </c>
      <c r="K1037">
        <f>250000.00</f>
        <v/>
      </c>
    </row>
    <row r="1038">
      <c r="A1038" t="inlineStr">
        <is>
          <t>Total for T-00175</t>
        </is>
      </c>
      <c r="J1038">
        <f>J1036</f>
        <v/>
      </c>
      <c r="K1038">
        <f>K1037</f>
        <v/>
      </c>
    </row>
    <row r="1039"/>
    <row r="1040">
      <c r="A1040" t="inlineStr">
        <is>
          <t>T-00186</t>
        </is>
      </c>
    </row>
    <row r="1041">
      <c r="B1041" t="inlineStr">
        <is>
          <t>05/20/2025</t>
        </is>
      </c>
      <c r="C1041" t="inlineStr">
        <is>
          <t>Bill</t>
        </is>
      </c>
      <c r="D1041" t="inlineStr">
        <is>
          <t>NWS-4404</t>
        </is>
      </c>
      <c r="E1041" t="inlineStr">
        <is>
          <t>Northwind Supply</t>
        </is>
      </c>
      <c r="F1041" t="inlineStr">
        <is>
          <t>NWS-4404 components</t>
        </is>
      </c>
      <c r="G1041" t="inlineStr">
        <is>
          <t>5000</t>
        </is>
      </c>
      <c r="H1041" t="inlineStr">
        <is>
          <t>Cost of Goods Sold - Components</t>
        </is>
      </c>
      <c r="I1041" t="inlineStr">
        <is>
          <t>Product</t>
        </is>
      </c>
      <c r="J1041">
        <f>11122.53</f>
        <v/>
      </c>
    </row>
    <row r="1042">
      <c r="B1042" t="inlineStr">
        <is>
          <t>05/20/2025</t>
        </is>
      </c>
      <c r="C1042" t="inlineStr">
        <is>
          <t>Bill</t>
        </is>
      </c>
      <c r="D1042" t="inlineStr">
        <is>
          <t>NWS-4404</t>
        </is>
      </c>
      <c r="E1042" t="inlineStr">
        <is>
          <t>Northwind Supply</t>
        </is>
      </c>
      <c r="F1042" t="inlineStr">
        <is>
          <t>NWS-4404 components</t>
        </is>
      </c>
      <c r="G1042" t="inlineStr">
        <is>
          <t>2010</t>
        </is>
      </c>
      <c r="H1042" t="inlineStr">
        <is>
          <t>Accounts Payable</t>
        </is>
      </c>
      <c r="I1042" t="inlineStr">
        <is>
          <t>Product</t>
        </is>
      </c>
      <c r="K1042">
        <f>11122.53</f>
        <v/>
      </c>
    </row>
    <row r="1043">
      <c r="A1043" t="inlineStr">
        <is>
          <t>Total for T-00186</t>
        </is>
      </c>
      <c r="J1043">
        <f>J1041</f>
        <v/>
      </c>
      <c r="K1043">
        <f>K1042</f>
        <v/>
      </c>
    </row>
    <row r="1044"/>
    <row r="1045">
      <c r="A1045" t="inlineStr">
        <is>
          <t>T-00199</t>
        </is>
      </c>
    </row>
    <row r="1046">
      <c r="B1046" t="inlineStr">
        <is>
          <t>05/20/2025</t>
        </is>
      </c>
      <c r="C1046" t="inlineStr">
        <is>
          <t>Expense</t>
        </is>
      </c>
      <c r="D1046" t="inlineStr"/>
      <c r="E1046" t="inlineStr">
        <is>
          <t>Bluepeak Engineering</t>
        </is>
      </c>
      <c r="F1046" t="inlineStr">
        <is>
          <t>Bluepeak Engineering invoice 70786</t>
        </is>
      </c>
      <c r="G1046" t="inlineStr">
        <is>
          <t>6100</t>
        </is>
      </c>
      <c r="H1046" t="inlineStr">
        <is>
          <t>Contract Engineering</t>
        </is>
      </c>
      <c r="I1046" t="inlineStr">
        <is>
          <t>Product</t>
        </is>
      </c>
      <c r="J1046">
        <f>1652.93</f>
        <v/>
      </c>
    </row>
    <row r="1047">
      <c r="B1047" t="inlineStr">
        <is>
          <t>05/20/2025</t>
        </is>
      </c>
      <c r="C1047" t="inlineStr">
        <is>
          <t>Expense</t>
        </is>
      </c>
      <c r="D1047" t="inlineStr"/>
      <c r="E1047" t="inlineStr">
        <is>
          <t>Bluepeak Engineering</t>
        </is>
      </c>
      <c r="F1047" t="inlineStr">
        <is>
          <t>Bluepeak Engineering invoice 70786</t>
        </is>
      </c>
      <c r="G1047" t="inlineStr">
        <is>
          <t>1010</t>
        </is>
      </c>
      <c r="H1047" t="inlineStr">
        <is>
          <t>Northgate Checking 7742</t>
        </is>
      </c>
      <c r="I1047" t="inlineStr">
        <is>
          <t>Product</t>
        </is>
      </c>
      <c r="K1047">
        <f>1652.93</f>
        <v/>
      </c>
    </row>
    <row r="1048">
      <c r="A1048" t="inlineStr">
        <is>
          <t>Total for T-00199</t>
        </is>
      </c>
      <c r="J1048">
        <f>J1046</f>
        <v/>
      </c>
      <c r="K1048">
        <f>K1047</f>
        <v/>
      </c>
    </row>
    <row r="1049"/>
    <row r="1050">
      <c r="A1050" t="inlineStr">
        <is>
          <t>T-00222</t>
        </is>
      </c>
    </row>
    <row r="1051">
      <c r="B1051" t="inlineStr">
        <is>
          <t>05/20/2025</t>
        </is>
      </c>
      <c r="C1051" t="inlineStr">
        <is>
          <t>Credit Card Charge</t>
        </is>
      </c>
      <c r="D1051" t="inlineStr"/>
      <c r="E1051" t="inlineStr">
        <is>
          <t>Contoso Cloud</t>
        </is>
      </c>
      <c r="F1051" t="inlineStr">
        <is>
          <t>Contoso Cloud 2025-05</t>
        </is>
      </c>
      <c r="G1051" t="inlineStr">
        <is>
          <t>6300</t>
        </is>
      </c>
      <c r="H1051" t="inlineStr">
        <is>
          <t>Cloud Hosting</t>
        </is>
      </c>
      <c r="I1051" t="inlineStr">
        <is>
          <t>Services</t>
        </is>
      </c>
      <c r="J1051">
        <f>1358.11</f>
        <v/>
      </c>
    </row>
    <row r="1052">
      <c r="B1052" t="inlineStr">
        <is>
          <t>05/20/2025</t>
        </is>
      </c>
      <c r="C1052" t="inlineStr">
        <is>
          <t>Credit Card Charge</t>
        </is>
      </c>
      <c r="D1052" t="inlineStr"/>
      <c r="E1052" t="inlineStr">
        <is>
          <t>Contoso Cloud</t>
        </is>
      </c>
      <c r="F1052" t="inlineStr">
        <is>
          <t>Contoso Cloud 2025-05</t>
        </is>
      </c>
      <c r="H1052" t="inlineStr">
        <is>
          <t>Vantage Credit Card 3391</t>
        </is>
      </c>
      <c r="I1052" t="inlineStr">
        <is>
          <t>Services</t>
        </is>
      </c>
      <c r="K1052">
        <f>1358.11</f>
        <v/>
      </c>
    </row>
    <row r="1053">
      <c r="A1053" t="inlineStr">
        <is>
          <t>Total for T-00222</t>
        </is>
      </c>
      <c r="J1053">
        <f>J1051</f>
        <v/>
      </c>
      <c r="K1053">
        <f>K1052</f>
        <v/>
      </c>
    </row>
    <row r="1054"/>
    <row r="1055">
      <c r="A1055" t="inlineStr">
        <is>
          <t>T-00200</t>
        </is>
      </c>
    </row>
    <row r="1056">
      <c r="B1056" t="inlineStr">
        <is>
          <t>05/21/2025</t>
        </is>
      </c>
      <c r="C1056" t="inlineStr">
        <is>
          <t>Expense</t>
        </is>
      </c>
      <c r="D1056" t="inlineStr"/>
      <c r="E1056" t="inlineStr">
        <is>
          <t>Fabrikam Freight</t>
        </is>
      </c>
      <c r="F1056" t="inlineStr">
        <is>
          <t>Fabrikam Freight invoice 58691</t>
        </is>
      </c>
      <c r="G1056" t="inlineStr">
        <is>
          <t>5100</t>
        </is>
      </c>
      <c r="H1056" t="inlineStr">
        <is>
          <t>Shipping and Freight</t>
        </is>
      </c>
      <c r="I1056" t="inlineStr">
        <is>
          <t>Product</t>
        </is>
      </c>
      <c r="J1056">
        <f>524.83</f>
        <v/>
      </c>
    </row>
    <row r="1057">
      <c r="B1057" t="inlineStr">
        <is>
          <t>05/21/2025</t>
        </is>
      </c>
      <c r="C1057" t="inlineStr">
        <is>
          <t>Expense</t>
        </is>
      </c>
      <c r="D1057" t="inlineStr"/>
      <c r="E1057" t="inlineStr">
        <is>
          <t>Fabrikam Freight</t>
        </is>
      </c>
      <c r="F1057" t="inlineStr">
        <is>
          <t>Fabrikam Freight invoice 58691</t>
        </is>
      </c>
      <c r="G1057" t="inlineStr">
        <is>
          <t>1010</t>
        </is>
      </c>
      <c r="H1057" t="inlineStr">
        <is>
          <t>Northgate Checking 7742</t>
        </is>
      </c>
      <c r="I1057" t="inlineStr">
        <is>
          <t>Product</t>
        </is>
      </c>
      <c r="K1057">
        <f>524.83</f>
        <v/>
      </c>
    </row>
    <row r="1058">
      <c r="A1058" t="inlineStr">
        <is>
          <t>Total for T-00200</t>
        </is>
      </c>
      <c r="J1058">
        <f>J1056</f>
        <v/>
      </c>
      <c r="K1058">
        <f>K1057</f>
        <v/>
      </c>
    </row>
    <row r="1059"/>
    <row r="1060">
      <c r="A1060" t="inlineStr">
        <is>
          <t>T-00178</t>
        </is>
      </c>
    </row>
    <row r="1061">
      <c r="B1061" t="inlineStr">
        <is>
          <t>05/22/2025</t>
        </is>
      </c>
      <c r="C1061" t="inlineStr">
        <is>
          <t>Credit Card Charge</t>
        </is>
      </c>
      <c r="D1061" t="inlineStr"/>
      <c r="E1061" t="inlineStr">
        <is>
          <t>Fabrikam Freight</t>
        </is>
      </c>
      <c r="F1061" t="inlineStr">
        <is>
          <t>Outbound freight 2025-05</t>
        </is>
      </c>
      <c r="G1061" t="inlineStr">
        <is>
          <t>5100</t>
        </is>
      </c>
      <c r="H1061" t="inlineStr">
        <is>
          <t>Shipping and Freight</t>
        </is>
      </c>
      <c r="I1061" t="inlineStr">
        <is>
          <t>Product</t>
        </is>
      </c>
      <c r="J1061">
        <f>1576.48</f>
        <v/>
      </c>
    </row>
    <row r="1062">
      <c r="B1062" t="inlineStr">
        <is>
          <t>05/22/2025</t>
        </is>
      </c>
      <c r="C1062" t="inlineStr">
        <is>
          <t>Credit Card Charge</t>
        </is>
      </c>
      <c r="D1062" t="inlineStr"/>
      <c r="E1062" t="inlineStr">
        <is>
          <t>Fabrikam Freight</t>
        </is>
      </c>
      <c r="F1062" t="inlineStr">
        <is>
          <t>Outbound freight 2025-05</t>
        </is>
      </c>
      <c r="H1062" t="inlineStr">
        <is>
          <t>Vantage Credit Card 3391</t>
        </is>
      </c>
      <c r="I1062" t="inlineStr">
        <is>
          <t>Product</t>
        </is>
      </c>
      <c r="K1062">
        <f>1576.48</f>
        <v/>
      </c>
    </row>
    <row r="1063">
      <c r="A1063" t="inlineStr">
        <is>
          <t>Total for T-00178</t>
        </is>
      </c>
      <c r="J1063">
        <f>J1061</f>
        <v/>
      </c>
      <c r="K1063">
        <f>K1062</f>
        <v/>
      </c>
    </row>
    <row r="1064"/>
    <row r="1065">
      <c r="A1065" t="inlineStr">
        <is>
          <t>T-00194</t>
        </is>
      </c>
    </row>
    <row r="1066">
      <c r="B1066" t="inlineStr">
        <is>
          <t>05/22/2025</t>
        </is>
      </c>
      <c r="C1066" t="inlineStr">
        <is>
          <t>Expense</t>
        </is>
      </c>
      <c r="D1066" t="inlineStr"/>
      <c r="E1066" t="inlineStr">
        <is>
          <t>Quartz CAD Services</t>
        </is>
      </c>
      <c r="F1066" t="inlineStr">
        <is>
          <t>Quartz CAD Services invoice 22319</t>
        </is>
      </c>
      <c r="G1066" t="inlineStr">
        <is>
          <t>6100</t>
        </is>
      </c>
      <c r="H1066" t="inlineStr">
        <is>
          <t>Contract Engineering</t>
        </is>
      </c>
      <c r="I1066" t="inlineStr">
        <is>
          <t>Product</t>
        </is>
      </c>
      <c r="J1066">
        <f>667.16</f>
        <v/>
      </c>
    </row>
    <row r="1067">
      <c r="B1067" t="inlineStr">
        <is>
          <t>05/22/2025</t>
        </is>
      </c>
      <c r="C1067" t="inlineStr">
        <is>
          <t>Expense</t>
        </is>
      </c>
      <c r="D1067" t="inlineStr"/>
      <c r="E1067" t="inlineStr">
        <is>
          <t>Quartz CAD Services</t>
        </is>
      </c>
      <c r="F1067" t="inlineStr">
        <is>
          <t>Quartz CAD Services invoice 22319</t>
        </is>
      </c>
      <c r="G1067" t="inlineStr">
        <is>
          <t>1010</t>
        </is>
      </c>
      <c r="H1067" t="inlineStr">
        <is>
          <t>Northgate Checking 7742</t>
        </is>
      </c>
      <c r="I1067" t="inlineStr">
        <is>
          <t>Product</t>
        </is>
      </c>
      <c r="K1067">
        <f>667.16</f>
        <v/>
      </c>
    </row>
    <row r="1068">
      <c r="A1068" t="inlineStr">
        <is>
          <t>Total for T-00194</t>
        </is>
      </c>
      <c r="J1068">
        <f>J1066</f>
        <v/>
      </c>
      <c r="K1068">
        <f>K1067</f>
        <v/>
      </c>
    </row>
    <row r="1069"/>
    <row r="1070">
      <c r="A1070" t="inlineStr">
        <is>
          <t>T-00195</t>
        </is>
      </c>
    </row>
    <row r="1071">
      <c r="B1071" t="inlineStr">
        <is>
          <t>05/22/2025</t>
        </is>
      </c>
      <c r="C1071" t="inlineStr">
        <is>
          <t>Expense</t>
        </is>
      </c>
      <c r="D1071" t="inlineStr"/>
      <c r="E1071" t="inlineStr">
        <is>
          <t>Litware Legal</t>
        </is>
      </c>
      <c r="F1071" t="inlineStr">
        <is>
          <t>Litware Legal invoice 14994</t>
        </is>
      </c>
      <c r="G1071" t="inlineStr">
        <is>
          <t>6800</t>
        </is>
      </c>
      <c r="H1071" t="inlineStr">
        <is>
          <t>Professional Fees</t>
        </is>
      </c>
      <c r="I1071" t="inlineStr">
        <is>
          <t>Overhead</t>
        </is>
      </c>
      <c r="J1071">
        <f>2579.80</f>
        <v/>
      </c>
    </row>
    <row r="1072">
      <c r="B1072" t="inlineStr">
        <is>
          <t>05/22/2025</t>
        </is>
      </c>
      <c r="C1072" t="inlineStr">
        <is>
          <t>Expense</t>
        </is>
      </c>
      <c r="D1072" t="inlineStr"/>
      <c r="E1072" t="inlineStr">
        <is>
          <t>Litware Legal</t>
        </is>
      </c>
      <c r="F1072" t="inlineStr">
        <is>
          <t>Litware Legal invoice 14994</t>
        </is>
      </c>
      <c r="G1072" t="inlineStr">
        <is>
          <t>1010</t>
        </is>
      </c>
      <c r="H1072" t="inlineStr">
        <is>
          <t>Northgate Checking 7742</t>
        </is>
      </c>
      <c r="I1072" t="inlineStr">
        <is>
          <t>Overhead</t>
        </is>
      </c>
      <c r="K1072">
        <f>2579.80</f>
        <v/>
      </c>
    </row>
    <row r="1073">
      <c r="A1073" t="inlineStr">
        <is>
          <t>Total for T-00195</t>
        </is>
      </c>
      <c r="J1073">
        <f>J1071</f>
        <v/>
      </c>
      <c r="K1073">
        <f>K1072</f>
        <v/>
      </c>
    </row>
    <row r="1074"/>
    <row r="1075">
      <c r="A1075" t="inlineStr">
        <is>
          <t>T-00197</t>
        </is>
      </c>
    </row>
    <row r="1076">
      <c r="B1076" t="inlineStr">
        <is>
          <t>05/22/2025</t>
        </is>
      </c>
      <c r="C1076" t="inlineStr">
        <is>
          <t>Credit Card Charge</t>
        </is>
      </c>
      <c r="D1076" t="inlineStr"/>
      <c r="E1076" t="inlineStr">
        <is>
          <t>Cascade Office</t>
        </is>
      </c>
      <c r="F1076" t="inlineStr">
        <is>
          <t>Cascade Office 2025-05</t>
        </is>
      </c>
      <c r="G1076" t="inlineStr">
        <is>
          <t>6700</t>
        </is>
      </c>
      <c r="H1076" t="inlineStr">
        <is>
          <t>Office Supplies</t>
        </is>
      </c>
      <c r="I1076" t="inlineStr">
        <is>
          <t>Overhead</t>
        </is>
      </c>
      <c r="J1076">
        <f>365.70</f>
        <v/>
      </c>
    </row>
    <row r="1077">
      <c r="B1077" t="inlineStr">
        <is>
          <t>05/22/2025</t>
        </is>
      </c>
      <c r="C1077" t="inlineStr">
        <is>
          <t>Credit Card Charge</t>
        </is>
      </c>
      <c r="D1077" t="inlineStr"/>
      <c r="E1077" t="inlineStr">
        <is>
          <t>Cascade Office</t>
        </is>
      </c>
      <c r="F1077" t="inlineStr">
        <is>
          <t>Cascade Office 2025-05</t>
        </is>
      </c>
      <c r="H1077" t="inlineStr">
        <is>
          <t>Vantage Credit Card 3391</t>
        </is>
      </c>
      <c r="I1077" t="inlineStr">
        <is>
          <t>Overhead</t>
        </is>
      </c>
      <c r="K1077">
        <f>365.70</f>
        <v/>
      </c>
    </row>
    <row r="1078">
      <c r="A1078" t="inlineStr">
        <is>
          <t>Total for T-00197</t>
        </is>
      </c>
      <c r="J1078">
        <f>J1076</f>
        <v/>
      </c>
      <c r="K1078">
        <f>K1077</f>
        <v/>
      </c>
    </row>
    <row r="1079"/>
    <row r="1080">
      <c r="A1080" t="inlineStr">
        <is>
          <t>T-00201</t>
        </is>
      </c>
    </row>
    <row r="1081">
      <c r="B1081" t="inlineStr">
        <is>
          <t>05/22/2025</t>
        </is>
      </c>
      <c r="C1081" t="inlineStr">
        <is>
          <t>Expense</t>
        </is>
      </c>
      <c r="D1081" t="inlineStr"/>
      <c r="E1081" t="inlineStr">
        <is>
          <t>Quartz CAD Services</t>
        </is>
      </c>
      <c r="F1081" t="inlineStr">
        <is>
          <t>Quartz CAD Services invoice 78035</t>
        </is>
      </c>
      <c r="G1081" t="inlineStr">
        <is>
          <t>6100</t>
        </is>
      </c>
      <c r="H1081" t="inlineStr">
        <is>
          <t>Contract Engineering</t>
        </is>
      </c>
      <c r="I1081" t="inlineStr">
        <is>
          <t>Product</t>
        </is>
      </c>
      <c r="J1081">
        <f>481.41</f>
        <v/>
      </c>
    </row>
    <row r="1082">
      <c r="B1082" t="inlineStr">
        <is>
          <t>05/22/2025</t>
        </is>
      </c>
      <c r="C1082" t="inlineStr">
        <is>
          <t>Expense</t>
        </is>
      </c>
      <c r="D1082" t="inlineStr"/>
      <c r="E1082" t="inlineStr">
        <is>
          <t>Quartz CAD Services</t>
        </is>
      </c>
      <c r="F1082" t="inlineStr">
        <is>
          <t>Quartz CAD Services invoice 78035</t>
        </is>
      </c>
      <c r="G1082" t="inlineStr">
        <is>
          <t>1010</t>
        </is>
      </c>
      <c r="H1082" t="inlineStr">
        <is>
          <t>Northgate Checking 7742</t>
        </is>
      </c>
      <c r="I1082" t="inlineStr">
        <is>
          <t>Product</t>
        </is>
      </c>
      <c r="K1082">
        <f>481.41</f>
        <v/>
      </c>
    </row>
    <row r="1083">
      <c r="A1083" t="inlineStr">
        <is>
          <t>Total for T-00201</t>
        </is>
      </c>
      <c r="J1083">
        <f>J1081</f>
        <v/>
      </c>
      <c r="K1083">
        <f>K1082</f>
        <v/>
      </c>
    </row>
    <row r="1084"/>
    <row r="1085">
      <c r="A1085" t="inlineStr">
        <is>
          <t>T-00196</t>
        </is>
      </c>
    </row>
    <row r="1086">
      <c r="B1086" t="inlineStr">
        <is>
          <t>05/23/2025</t>
        </is>
      </c>
      <c r="C1086" t="inlineStr">
        <is>
          <t>Credit Card Charge</t>
        </is>
      </c>
      <c r="D1086" t="inlineStr"/>
      <c r="E1086" t="inlineStr">
        <is>
          <t>Metro Rideshare</t>
        </is>
      </c>
      <c r="F1086" t="inlineStr">
        <is>
          <t>Metro Rideshare 2025-05</t>
        </is>
      </c>
      <c r="G1086" t="inlineStr">
        <is>
          <t>6900</t>
        </is>
      </c>
      <c r="H1086" t="inlineStr">
        <is>
          <t>Travel and Meals</t>
        </is>
      </c>
      <c r="I1086" t="inlineStr">
        <is>
          <t>Overhead</t>
        </is>
      </c>
      <c r="J1086">
        <f>71.91</f>
        <v/>
      </c>
    </row>
    <row r="1087">
      <c r="B1087" t="inlineStr">
        <is>
          <t>05/23/2025</t>
        </is>
      </c>
      <c r="C1087" t="inlineStr">
        <is>
          <t>Credit Card Charge</t>
        </is>
      </c>
      <c r="D1087" t="inlineStr"/>
      <c r="E1087" t="inlineStr">
        <is>
          <t>Metro Rideshare</t>
        </is>
      </c>
      <c r="F1087" t="inlineStr">
        <is>
          <t>Metro Rideshare 2025-05</t>
        </is>
      </c>
      <c r="H1087" t="inlineStr">
        <is>
          <t>Vantage Credit Card 3391</t>
        </is>
      </c>
      <c r="I1087" t="inlineStr">
        <is>
          <t>Overhead</t>
        </is>
      </c>
      <c r="K1087">
        <f>71.91</f>
        <v/>
      </c>
    </row>
    <row r="1088">
      <c r="A1088" t="inlineStr">
        <is>
          <t>Total for T-00196</t>
        </is>
      </c>
      <c r="J1088">
        <f>J1086</f>
        <v/>
      </c>
      <c r="K1088">
        <f>K1087</f>
        <v/>
      </c>
    </row>
    <row r="1089"/>
    <row r="1090">
      <c r="A1090" t="inlineStr">
        <is>
          <t>T-00203</t>
        </is>
      </c>
    </row>
    <row r="1091">
      <c r="B1091" t="inlineStr">
        <is>
          <t>05/24/2025</t>
        </is>
      </c>
      <c r="C1091" t="inlineStr">
        <is>
          <t>Credit Card Charge</t>
        </is>
      </c>
      <c r="D1091" t="inlineStr"/>
      <c r="E1091" t="inlineStr">
        <is>
          <t>Skyward Air</t>
        </is>
      </c>
      <c r="F1091" t="inlineStr">
        <is>
          <t>Skyward Air 2025-05</t>
        </is>
      </c>
      <c r="G1091" t="inlineStr">
        <is>
          <t>6900</t>
        </is>
      </c>
      <c r="H1091" t="inlineStr">
        <is>
          <t>Travel and Meals</t>
        </is>
      </c>
      <c r="I1091" t="inlineStr">
        <is>
          <t>Overhead</t>
        </is>
      </c>
      <c r="J1091">
        <f>660.14</f>
        <v/>
      </c>
    </row>
    <row r="1092">
      <c r="B1092" t="inlineStr">
        <is>
          <t>05/24/2025</t>
        </is>
      </c>
      <c r="C1092" t="inlineStr">
        <is>
          <t>Credit Card Charge</t>
        </is>
      </c>
      <c r="D1092" t="inlineStr"/>
      <c r="E1092" t="inlineStr">
        <is>
          <t>Skyward Air</t>
        </is>
      </c>
      <c r="F1092" t="inlineStr">
        <is>
          <t>Skyward Air 2025-05</t>
        </is>
      </c>
      <c r="H1092" t="inlineStr">
        <is>
          <t>Vantage Credit Card 3391</t>
        </is>
      </c>
      <c r="I1092" t="inlineStr">
        <is>
          <t>Overhead</t>
        </is>
      </c>
      <c r="K1092">
        <f>660.14</f>
        <v/>
      </c>
    </row>
    <row r="1093">
      <c r="A1093" t="inlineStr">
        <is>
          <t>Total for T-00203</t>
        </is>
      </c>
      <c r="J1093">
        <f>J1091</f>
        <v/>
      </c>
      <c r="K1093">
        <f>K1092</f>
        <v/>
      </c>
    </row>
    <row r="1094"/>
    <row r="1095">
      <c r="A1095" t="inlineStr">
        <is>
          <t>T-00219</t>
        </is>
      </c>
    </row>
    <row r="1096">
      <c r="B1096" t="inlineStr">
        <is>
          <t>05/24/2025</t>
        </is>
      </c>
      <c r="C1096" t="inlineStr">
        <is>
          <t>Expense</t>
        </is>
      </c>
      <c r="D1096" t="inlineStr"/>
      <c r="E1096" t="inlineStr">
        <is>
          <t>Fabrikam Freight</t>
        </is>
      </c>
      <c r="F1096" t="inlineStr">
        <is>
          <t>Fabrikam Freight invoice 88053</t>
        </is>
      </c>
      <c r="G1096" t="inlineStr">
        <is>
          <t>5100</t>
        </is>
      </c>
      <c r="H1096" t="inlineStr">
        <is>
          <t>Shipping and Freight</t>
        </is>
      </c>
      <c r="I1096" t="inlineStr">
        <is>
          <t>Product</t>
        </is>
      </c>
      <c r="J1096">
        <f>629.92</f>
        <v/>
      </c>
    </row>
    <row r="1097">
      <c r="B1097" t="inlineStr">
        <is>
          <t>05/24/2025</t>
        </is>
      </c>
      <c r="C1097" t="inlineStr">
        <is>
          <t>Expense</t>
        </is>
      </c>
      <c r="D1097" t="inlineStr"/>
      <c r="E1097" t="inlineStr">
        <is>
          <t>Fabrikam Freight</t>
        </is>
      </c>
      <c r="F1097" t="inlineStr">
        <is>
          <t>Fabrikam Freight invoice 88053</t>
        </is>
      </c>
      <c r="G1097" t="inlineStr">
        <is>
          <t>1010</t>
        </is>
      </c>
      <c r="H1097" t="inlineStr">
        <is>
          <t>Northgate Checking 7742</t>
        </is>
      </c>
      <c r="I1097" t="inlineStr">
        <is>
          <t>Product</t>
        </is>
      </c>
      <c r="K1097">
        <f>629.92</f>
        <v/>
      </c>
    </row>
    <row r="1098">
      <c r="A1098" t="inlineStr">
        <is>
          <t>Total for T-00219</t>
        </is>
      </c>
      <c r="J1098">
        <f>J1096</f>
        <v/>
      </c>
      <c r="K1098">
        <f>K1097</f>
        <v/>
      </c>
    </row>
    <row r="1099"/>
    <row r="1100">
      <c r="A1100" t="inlineStr">
        <is>
          <t>T-00210</t>
        </is>
      </c>
    </row>
    <row r="1101">
      <c r="B1101" t="inlineStr">
        <is>
          <t>05/25/2025</t>
        </is>
      </c>
      <c r="C1101" t="inlineStr">
        <is>
          <t>Credit Card Charge</t>
        </is>
      </c>
      <c r="D1101" t="inlineStr"/>
      <c r="E1101" t="inlineStr">
        <is>
          <t>Metro Rideshare</t>
        </is>
      </c>
      <c r="F1101" t="inlineStr">
        <is>
          <t>Metro Rideshare 2025-05</t>
        </is>
      </c>
      <c r="G1101" t="inlineStr">
        <is>
          <t>6900</t>
        </is>
      </c>
      <c r="H1101" t="inlineStr">
        <is>
          <t>Travel and Meals</t>
        </is>
      </c>
      <c r="I1101" t="inlineStr">
        <is>
          <t>Overhead</t>
        </is>
      </c>
      <c r="J1101">
        <f>55.91</f>
        <v/>
      </c>
    </row>
    <row r="1102">
      <c r="B1102" t="inlineStr">
        <is>
          <t>05/25/2025</t>
        </is>
      </c>
      <c r="C1102" t="inlineStr">
        <is>
          <t>Credit Card Charge</t>
        </is>
      </c>
      <c r="D1102" t="inlineStr"/>
      <c r="E1102" t="inlineStr">
        <is>
          <t>Metro Rideshare</t>
        </is>
      </c>
      <c r="F1102" t="inlineStr">
        <is>
          <t>Metro Rideshare 2025-05</t>
        </is>
      </c>
      <c r="H1102" t="inlineStr">
        <is>
          <t>Vantage Credit Card 3391</t>
        </is>
      </c>
      <c r="I1102" t="inlineStr">
        <is>
          <t>Overhead</t>
        </is>
      </c>
      <c r="K1102">
        <f>55.91</f>
        <v/>
      </c>
    </row>
    <row r="1103">
      <c r="A1103" t="inlineStr">
        <is>
          <t>Total for T-00210</t>
        </is>
      </c>
      <c r="J1103">
        <f>J1101</f>
        <v/>
      </c>
      <c r="K1103">
        <f>K1102</f>
        <v/>
      </c>
    </row>
    <row r="1104"/>
    <row r="1105">
      <c r="A1105" t="inlineStr">
        <is>
          <t>T-00193</t>
        </is>
      </c>
    </row>
    <row r="1106">
      <c r="B1106" t="inlineStr">
        <is>
          <t>05/26/2025</t>
        </is>
      </c>
      <c r="C1106" t="inlineStr">
        <is>
          <t>Expense</t>
        </is>
      </c>
      <c r="D1106" t="inlineStr"/>
      <c r="E1106" t="inlineStr">
        <is>
          <t>Trey Research</t>
        </is>
      </c>
      <c r="F1106" t="inlineStr">
        <is>
          <t>Trey Research monthly engagement</t>
        </is>
      </c>
      <c r="G1106" t="inlineStr">
        <is>
          <t>6100</t>
        </is>
      </c>
      <c r="H1106" t="inlineStr">
        <is>
          <t>Contract Engineering</t>
        </is>
      </c>
      <c r="I1106" t="inlineStr">
        <is>
          <t>Product</t>
        </is>
      </c>
      <c r="J1106">
        <f>5601.22</f>
        <v/>
      </c>
    </row>
    <row r="1107">
      <c r="B1107" t="inlineStr">
        <is>
          <t>05/26/2025</t>
        </is>
      </c>
      <c r="C1107" t="inlineStr">
        <is>
          <t>Expense</t>
        </is>
      </c>
      <c r="D1107" t="inlineStr"/>
      <c r="E1107" t="inlineStr">
        <is>
          <t>Trey Research</t>
        </is>
      </c>
      <c r="F1107" t="inlineStr">
        <is>
          <t>Trey Research monthly engagement</t>
        </is>
      </c>
      <c r="G1107" t="inlineStr">
        <is>
          <t>1010</t>
        </is>
      </c>
      <c r="H1107" t="inlineStr">
        <is>
          <t>Northgate Checking 7742</t>
        </is>
      </c>
      <c r="I1107" t="inlineStr">
        <is>
          <t>Product</t>
        </is>
      </c>
      <c r="K1107">
        <f>5601.22</f>
        <v/>
      </c>
    </row>
    <row r="1108">
      <c r="A1108" t="inlineStr">
        <is>
          <t>Total for T-00193</t>
        </is>
      </c>
      <c r="J1108">
        <f>J1106</f>
        <v/>
      </c>
      <c r="K1108">
        <f>K1107</f>
        <v/>
      </c>
    </row>
    <row r="1109"/>
    <row r="1110">
      <c r="A1110" t="inlineStr">
        <is>
          <t>T-00223</t>
        </is>
      </c>
    </row>
    <row r="1111">
      <c r="B1111" t="inlineStr">
        <is>
          <t>05/26/2025</t>
        </is>
      </c>
      <c r="C1111" t="inlineStr">
        <is>
          <t>Credit Card Charge</t>
        </is>
      </c>
      <c r="D1111" t="inlineStr"/>
      <c r="E1111" t="inlineStr">
        <is>
          <t>Cascade Office</t>
        </is>
      </c>
      <c r="F1111" t="inlineStr">
        <is>
          <t>Cascade Office 2025-05</t>
        </is>
      </c>
      <c r="G1111" t="inlineStr">
        <is>
          <t>6700</t>
        </is>
      </c>
      <c r="H1111" t="inlineStr">
        <is>
          <t>Office Supplies</t>
        </is>
      </c>
      <c r="I1111" t="inlineStr">
        <is>
          <t>Overhead</t>
        </is>
      </c>
      <c r="J1111">
        <f>44.36</f>
        <v/>
      </c>
    </row>
    <row r="1112">
      <c r="B1112" t="inlineStr">
        <is>
          <t>05/26/2025</t>
        </is>
      </c>
      <c r="C1112" t="inlineStr">
        <is>
          <t>Credit Card Charge</t>
        </is>
      </c>
      <c r="D1112" t="inlineStr"/>
      <c r="E1112" t="inlineStr">
        <is>
          <t>Cascade Office</t>
        </is>
      </c>
      <c r="F1112" t="inlineStr">
        <is>
          <t>Cascade Office 2025-05</t>
        </is>
      </c>
      <c r="H1112" t="inlineStr">
        <is>
          <t>Vantage Credit Card 3391</t>
        </is>
      </c>
      <c r="I1112" t="inlineStr">
        <is>
          <t>Overhead</t>
        </is>
      </c>
      <c r="K1112">
        <f>44.36</f>
        <v/>
      </c>
    </row>
    <row r="1113">
      <c r="A1113" t="inlineStr">
        <is>
          <t>Total for T-00223</t>
        </is>
      </c>
      <c r="J1113">
        <f>J1111</f>
        <v/>
      </c>
      <c r="K1113">
        <f>K1112</f>
        <v/>
      </c>
    </row>
    <row r="1114"/>
    <row r="1115">
      <c r="A1115" t="inlineStr">
        <is>
          <t>T-00205</t>
        </is>
      </c>
    </row>
    <row r="1116">
      <c r="B1116" t="inlineStr">
        <is>
          <t>05/27/2025</t>
        </is>
      </c>
      <c r="C1116" t="inlineStr">
        <is>
          <t>Expense</t>
        </is>
      </c>
      <c r="D1116" t="inlineStr"/>
      <c r="E1116" t="inlineStr">
        <is>
          <t>Bluepeak Engineering</t>
        </is>
      </c>
      <c r="F1116" t="inlineStr">
        <is>
          <t>Bluepeak Engineering invoice 32903</t>
        </is>
      </c>
      <c r="G1116" t="inlineStr">
        <is>
          <t>6100</t>
        </is>
      </c>
      <c r="H1116" t="inlineStr">
        <is>
          <t>Contract Engineering</t>
        </is>
      </c>
      <c r="I1116" t="inlineStr">
        <is>
          <t>Product</t>
        </is>
      </c>
      <c r="J1116">
        <f>772.18</f>
        <v/>
      </c>
    </row>
    <row r="1117">
      <c r="B1117" t="inlineStr">
        <is>
          <t>05/27/2025</t>
        </is>
      </c>
      <c r="C1117" t="inlineStr">
        <is>
          <t>Expense</t>
        </is>
      </c>
      <c r="D1117" t="inlineStr"/>
      <c r="E1117" t="inlineStr">
        <is>
          <t>Bluepeak Engineering</t>
        </is>
      </c>
      <c r="F1117" t="inlineStr">
        <is>
          <t>Bluepeak Engineering invoice 32903</t>
        </is>
      </c>
      <c r="G1117" t="inlineStr">
        <is>
          <t>1010</t>
        </is>
      </c>
      <c r="H1117" t="inlineStr">
        <is>
          <t>Northgate Checking 7742</t>
        </is>
      </c>
      <c r="I1117" t="inlineStr">
        <is>
          <t>Product</t>
        </is>
      </c>
      <c r="K1117">
        <f>772.18</f>
        <v/>
      </c>
    </row>
    <row r="1118">
      <c r="A1118" t="inlineStr">
        <is>
          <t>Total for T-00205</t>
        </is>
      </c>
      <c r="J1118">
        <f>J1116</f>
        <v/>
      </c>
      <c r="K1118">
        <f>K1117</f>
        <v/>
      </c>
    </row>
    <row r="1119"/>
    <row r="1120">
      <c r="A1120" t="inlineStr">
        <is>
          <t>T-00188</t>
        </is>
      </c>
    </row>
    <row r="1121">
      <c r="B1121" t="inlineStr">
        <is>
          <t>05/31/2025</t>
        </is>
      </c>
      <c r="C1121" t="inlineStr">
        <is>
          <t>Expense</t>
        </is>
      </c>
      <c r="D1121" t="inlineStr"/>
      <c r="E1121" t="inlineStr">
        <is>
          <t>Proseware Payroll</t>
        </is>
      </c>
      <c r="F1121" t="inlineStr">
        <is>
          <t>Payroll 2025-05-31 gross wages</t>
        </is>
      </c>
      <c r="G1121" t="inlineStr">
        <is>
          <t>6000</t>
        </is>
      </c>
      <c r="H1121" t="inlineStr">
        <is>
          <t>Salaries and Wages</t>
        </is>
      </c>
      <c r="I1121" t="inlineStr">
        <is>
          <t>Overhead</t>
        </is>
      </c>
      <c r="J1121">
        <f>20800.00</f>
        <v/>
      </c>
    </row>
    <row r="1122">
      <c r="B1122" t="inlineStr">
        <is>
          <t>05/31/2025</t>
        </is>
      </c>
      <c r="C1122" t="inlineStr">
        <is>
          <t>Expense</t>
        </is>
      </c>
      <c r="D1122" t="inlineStr"/>
      <c r="E1122" t="inlineStr">
        <is>
          <t>Proseware Payroll</t>
        </is>
      </c>
      <c r="F1122" t="inlineStr">
        <is>
          <t>Payroll 2025-05-31 employer taxes</t>
        </is>
      </c>
      <c r="G1122" t="inlineStr">
        <is>
          <t>6010</t>
        </is>
      </c>
      <c r="H1122" t="inlineStr">
        <is>
          <t>Payroll Taxes</t>
        </is>
      </c>
      <c r="I1122" t="inlineStr">
        <is>
          <t>Overhead</t>
        </is>
      </c>
      <c r="J1122">
        <f>1591.20</f>
        <v/>
      </c>
    </row>
    <row r="1123">
      <c r="B1123" t="inlineStr">
        <is>
          <t>05/31/2025</t>
        </is>
      </c>
      <c r="C1123" t="inlineStr">
        <is>
          <t>Expense</t>
        </is>
      </c>
      <c r="D1123" t="inlineStr"/>
      <c r="E1123" t="inlineStr">
        <is>
          <t>Proseware Payroll</t>
        </is>
      </c>
      <c r="F1123" t="inlineStr">
        <is>
          <t>Proseware payroll debit 2025-05-31</t>
        </is>
      </c>
      <c r="G1123" t="inlineStr">
        <is>
          <t>1010</t>
        </is>
      </c>
      <c r="H1123" t="inlineStr">
        <is>
          <t>Northgate Checking 7742</t>
        </is>
      </c>
      <c r="I1123" t="inlineStr">
        <is>
          <t>Overhead</t>
        </is>
      </c>
      <c r="K1123">
        <f>22391.20</f>
        <v/>
      </c>
    </row>
    <row r="1124">
      <c r="A1124" t="inlineStr">
        <is>
          <t>Total for T-00188</t>
        </is>
      </c>
      <c r="J1124">
        <f>J1121+J1122</f>
        <v/>
      </c>
      <c r="K1124">
        <f>K1123</f>
        <v/>
      </c>
    </row>
    <row r="1125"/>
    <row r="1126">
      <c r="A1126" t="inlineStr">
        <is>
          <t>T-00190</t>
        </is>
      </c>
    </row>
    <row r="1127">
      <c r="B1127" t="inlineStr">
        <is>
          <t>05/31/2025</t>
        </is>
      </c>
      <c r="C1127" t="inlineStr">
        <is>
          <t>Deposit</t>
        </is>
      </c>
      <c r="D1127" t="inlineStr"/>
      <c r="E1127" t="inlineStr">
        <is>
          <t>Paylane</t>
        </is>
      </c>
      <c r="F1127" t="inlineStr">
        <is>
          <t>Paylane payout 2025-05 #2</t>
        </is>
      </c>
      <c r="G1127" t="inlineStr">
        <is>
          <t>1010</t>
        </is>
      </c>
      <c r="H1127" t="inlineStr">
        <is>
          <t>Northgate Checking 7742</t>
        </is>
      </c>
      <c r="I1127" t="inlineStr">
        <is>
          <t>Product</t>
        </is>
      </c>
      <c r="J1127">
        <f>12785.18</f>
        <v/>
      </c>
    </row>
    <row r="1128">
      <c r="B1128" t="inlineStr">
        <is>
          <t>05/31/2025</t>
        </is>
      </c>
      <c r="C1128" t="inlineStr">
        <is>
          <t>Deposit</t>
        </is>
      </c>
      <c r="D1128" t="inlineStr"/>
      <c r="E1128" t="inlineStr">
        <is>
          <t>Paylane</t>
        </is>
      </c>
      <c r="F1128" t="inlineStr">
        <is>
          <t>Paylane payout 2025-05 #2</t>
        </is>
      </c>
      <c r="G1128" t="inlineStr">
        <is>
          <t>1200</t>
        </is>
      </c>
      <c r="H1128" t="inlineStr">
        <is>
          <t>Paylane Clearing</t>
        </is>
      </c>
      <c r="I1128" t="inlineStr">
        <is>
          <t>Product</t>
        </is>
      </c>
      <c r="K1128">
        <f>12785.18</f>
        <v/>
      </c>
    </row>
    <row r="1129">
      <c r="A1129" t="inlineStr">
        <is>
          <t>Total for T-00190</t>
        </is>
      </c>
      <c r="J1129">
        <f>J1127</f>
        <v/>
      </c>
      <c r="K1129">
        <f>K1128</f>
        <v/>
      </c>
    </row>
    <row r="1130"/>
    <row r="1131">
      <c r="A1131" t="inlineStr">
        <is>
          <t>T-00191</t>
        </is>
      </c>
    </row>
    <row r="1132">
      <c r="B1132" t="inlineStr">
        <is>
          <t>05/31/2025</t>
        </is>
      </c>
      <c r="C1132" t="inlineStr">
        <is>
          <t>Journal Entry</t>
        </is>
      </c>
      <c r="D1132" t="inlineStr">
        <is>
          <t>JE-1019</t>
        </is>
      </c>
      <c r="E1132" t="inlineStr">
        <is>
          <t>Paylane</t>
        </is>
      </c>
      <c r="F1132" t="inlineStr">
        <is>
          <t>Paylane settlement 2025-05</t>
        </is>
      </c>
      <c r="G1132" t="inlineStr">
        <is>
          <t>1200</t>
        </is>
      </c>
      <c r="H1132" t="inlineStr">
        <is>
          <t>Paylane Clearing</t>
        </is>
      </c>
      <c r="I1132" t="inlineStr">
        <is>
          <t>Product</t>
        </is>
      </c>
      <c r="J1132">
        <f>28411.50</f>
        <v/>
      </c>
    </row>
    <row r="1133">
      <c r="B1133" t="inlineStr">
        <is>
          <t>05/31/2025</t>
        </is>
      </c>
      <c r="C1133" t="inlineStr">
        <is>
          <t>Journal Entry</t>
        </is>
      </c>
      <c r="D1133" t="inlineStr">
        <is>
          <t>JE-1019</t>
        </is>
      </c>
      <c r="E1133" t="inlineStr">
        <is>
          <t>Paylane</t>
        </is>
      </c>
      <c r="F1133" t="inlineStr">
        <is>
          <t>Paylane processing fees 2025-05, 52 charges</t>
        </is>
      </c>
      <c r="G1133" t="inlineStr">
        <is>
          <t>6950</t>
        </is>
      </c>
      <c r="H1133" t="inlineStr">
        <is>
          <t>Bank and Processor Fees</t>
        </is>
      </c>
      <c r="I1133" t="inlineStr">
        <is>
          <t>Overhead</t>
        </is>
      </c>
      <c r="J1133">
        <f>864.61</f>
        <v/>
      </c>
    </row>
    <row r="1134">
      <c r="B1134" t="inlineStr">
        <is>
          <t>05/31/2025</t>
        </is>
      </c>
      <c r="C1134" t="inlineStr">
        <is>
          <t>Journal Entry</t>
        </is>
      </c>
      <c r="D1134" t="inlineStr">
        <is>
          <t>JE-1019</t>
        </is>
      </c>
      <c r="E1134" t="inlineStr">
        <is>
          <t>Paylane</t>
        </is>
      </c>
      <c r="F1134" t="inlineStr">
        <is>
          <t>Paylane product sales 2025-05</t>
        </is>
      </c>
      <c r="G1134" t="inlineStr">
        <is>
          <t>4000</t>
        </is>
      </c>
      <c r="H1134" t="inlineStr">
        <is>
          <t>Product Revenue</t>
        </is>
      </c>
      <c r="I1134" t="inlineStr">
        <is>
          <t>Product</t>
        </is>
      </c>
      <c r="K1134">
        <f>29276.11</f>
        <v/>
      </c>
    </row>
    <row r="1135">
      <c r="A1135" t="inlineStr">
        <is>
          <t>Total for T-00191</t>
        </is>
      </c>
      <c r="J1135">
        <f>J1132+J1133</f>
        <v/>
      </c>
      <c r="K1135">
        <f>K1134</f>
        <v/>
      </c>
    </row>
    <row r="1136"/>
    <row r="1137">
      <c r="A1137" t="inlineStr">
        <is>
          <t>T-00224</t>
        </is>
      </c>
    </row>
    <row r="1138">
      <c r="B1138" t="inlineStr">
        <is>
          <t>05/31/2025</t>
        </is>
      </c>
      <c r="C1138" t="inlineStr">
        <is>
          <t>Expense</t>
        </is>
      </c>
      <c r="D1138" t="inlineStr"/>
      <c r="E1138" t="inlineStr">
        <is>
          <t>Northgate Bank</t>
        </is>
      </c>
      <c r="F1138" t="inlineStr">
        <is>
          <t>Account analysis fee 2025-05</t>
        </is>
      </c>
      <c r="G1138" t="inlineStr">
        <is>
          <t>6950</t>
        </is>
      </c>
      <c r="H1138" t="inlineStr">
        <is>
          <t>Bank and Processor Fees</t>
        </is>
      </c>
      <c r="I1138" t="inlineStr">
        <is>
          <t>Overhead</t>
        </is>
      </c>
      <c r="J1138">
        <f>45.00</f>
        <v/>
      </c>
    </row>
    <row r="1139">
      <c r="B1139" t="inlineStr">
        <is>
          <t>05/31/2025</t>
        </is>
      </c>
      <c r="C1139" t="inlineStr">
        <is>
          <t>Expense</t>
        </is>
      </c>
      <c r="D1139" t="inlineStr"/>
      <c r="E1139" t="inlineStr">
        <is>
          <t>Northgate Bank</t>
        </is>
      </c>
      <c r="F1139" t="inlineStr">
        <is>
          <t>Account analysis fee 2025-05</t>
        </is>
      </c>
      <c r="G1139" t="inlineStr">
        <is>
          <t>1010</t>
        </is>
      </c>
      <c r="H1139" t="inlineStr">
        <is>
          <t>Northgate Checking 7742</t>
        </is>
      </c>
      <c r="I1139" t="inlineStr">
        <is>
          <t>Overhead</t>
        </is>
      </c>
      <c r="K1139">
        <f>45.00</f>
        <v/>
      </c>
    </row>
    <row r="1140">
      <c r="A1140" t="inlineStr">
        <is>
          <t>Total for T-00224</t>
        </is>
      </c>
      <c r="J1140">
        <f>J1138</f>
        <v/>
      </c>
      <c r="K1140">
        <f>K1139</f>
        <v/>
      </c>
    </row>
    <row r="1141"/>
    <row r="1142">
      <c r="A1142" t="inlineStr">
        <is>
          <t>T-00225</t>
        </is>
      </c>
    </row>
    <row r="1143">
      <c r="B1143" t="inlineStr">
        <is>
          <t>05/31/2025</t>
        </is>
      </c>
      <c r="C1143" t="inlineStr">
        <is>
          <t>Deposit</t>
        </is>
      </c>
      <c r="D1143" t="inlineStr"/>
      <c r="E1143" t="inlineStr">
        <is>
          <t>Northgate Bank</t>
        </is>
      </c>
      <c r="F1143" t="inlineStr">
        <is>
          <t>Savings interest 2025-05</t>
        </is>
      </c>
      <c r="G1143" t="inlineStr">
        <is>
          <t>1020</t>
        </is>
      </c>
      <c r="H1143" t="inlineStr">
        <is>
          <t>Northgate Savings 7809</t>
        </is>
      </c>
      <c r="I1143" t="inlineStr">
        <is>
          <t>Overhead</t>
        </is>
      </c>
      <c r="J1143">
        <f>10.01</f>
        <v/>
      </c>
    </row>
    <row r="1144">
      <c r="B1144" t="inlineStr">
        <is>
          <t>05/31/2025</t>
        </is>
      </c>
      <c r="C1144" t="inlineStr">
        <is>
          <t>Deposit</t>
        </is>
      </c>
      <c r="D1144" t="inlineStr"/>
      <c r="E1144" t="inlineStr">
        <is>
          <t>Northgate Bank</t>
        </is>
      </c>
      <c r="F1144" t="inlineStr">
        <is>
          <t>Savings interest 2025-05</t>
        </is>
      </c>
      <c r="G1144" t="inlineStr">
        <is>
          <t>4900</t>
        </is>
      </c>
      <c r="H1144" t="inlineStr">
        <is>
          <t>Interest Income</t>
        </is>
      </c>
      <c r="I1144" t="inlineStr">
        <is>
          <t>Overhead</t>
        </is>
      </c>
      <c r="K1144">
        <f>10.01</f>
        <v/>
      </c>
    </row>
    <row r="1145">
      <c r="A1145" t="inlineStr">
        <is>
          <t>Total for T-00225</t>
        </is>
      </c>
      <c r="J1145">
        <f>J1143</f>
        <v/>
      </c>
      <c r="K1145">
        <f>K1144</f>
        <v/>
      </c>
    </row>
    <row r="1146"/>
    <row r="1147">
      <c r="A1147" t="inlineStr">
        <is>
          <t>T-00226</t>
        </is>
      </c>
    </row>
    <row r="1148">
      <c r="B1148" t="inlineStr">
        <is>
          <t>05/31/2025</t>
        </is>
      </c>
      <c r="C1148" t="inlineStr">
        <is>
          <t>Journal Entry</t>
        </is>
      </c>
      <c r="D1148" t="inlineStr">
        <is>
          <t>JE-1020</t>
        </is>
      </c>
      <c r="E1148" t="inlineStr">
        <is>
          <t>Adatum Insurance</t>
        </is>
      </c>
      <c r="F1148" t="inlineStr">
        <is>
          <t>Insurance 2025-05</t>
        </is>
      </c>
      <c r="G1148" t="inlineStr">
        <is>
          <t>6500</t>
        </is>
      </c>
      <c r="H1148" t="inlineStr">
        <is>
          <t>Insurance</t>
        </is>
      </c>
      <c r="I1148" t="inlineStr">
        <is>
          <t>Overhead</t>
        </is>
      </c>
      <c r="J1148">
        <f>1200.00</f>
        <v/>
      </c>
    </row>
    <row r="1149">
      <c r="B1149" t="inlineStr">
        <is>
          <t>05/31/2025</t>
        </is>
      </c>
      <c r="C1149" t="inlineStr">
        <is>
          <t>Journal Entry</t>
        </is>
      </c>
      <c r="D1149" t="inlineStr">
        <is>
          <t>JE-1020</t>
        </is>
      </c>
      <c r="E1149" t="inlineStr">
        <is>
          <t>Adatum Insurance</t>
        </is>
      </c>
      <c r="F1149" t="inlineStr">
        <is>
          <t>Insurance 2025-05</t>
        </is>
      </c>
      <c r="G1149" t="inlineStr">
        <is>
          <t>1300</t>
        </is>
      </c>
      <c r="H1149" t="inlineStr">
        <is>
          <t>Prepaid Insurance</t>
        </is>
      </c>
      <c r="I1149" t="inlineStr">
        <is>
          <t>Overhead</t>
        </is>
      </c>
      <c r="K1149">
        <f>1200.00</f>
        <v/>
      </c>
    </row>
    <row r="1150">
      <c r="A1150" t="inlineStr">
        <is>
          <t>Total for T-00226</t>
        </is>
      </c>
      <c r="J1150">
        <f>J1148</f>
        <v/>
      </c>
      <c r="K1150">
        <f>K1149</f>
        <v/>
      </c>
    </row>
    <row r="1151"/>
    <row r="1152">
      <c r="A1152" t="inlineStr">
        <is>
          <t>T-00227</t>
        </is>
      </c>
    </row>
    <row r="1153">
      <c r="B1153" t="inlineStr">
        <is>
          <t>05/31/2025</t>
        </is>
      </c>
      <c r="C1153" t="inlineStr">
        <is>
          <t>Journal Entry</t>
        </is>
      </c>
      <c r="D1153" t="inlineStr">
        <is>
          <t>JE-1021</t>
        </is>
      </c>
      <c r="E1153" t="inlineStr">
        <is>
          <t>Tailspin Tools</t>
        </is>
      </c>
      <c r="F1153" t="inlineStr">
        <is>
          <t>Software 2025-05</t>
        </is>
      </c>
      <c r="G1153" t="inlineStr">
        <is>
          <t>6200</t>
        </is>
      </c>
      <c r="H1153" t="inlineStr">
        <is>
          <t>Software Subscriptions</t>
        </is>
      </c>
      <c r="I1153" t="inlineStr">
        <is>
          <t>Overhead</t>
        </is>
      </c>
      <c r="J1153">
        <f>800.00</f>
        <v/>
      </c>
    </row>
    <row r="1154">
      <c r="B1154" t="inlineStr">
        <is>
          <t>05/31/2025</t>
        </is>
      </c>
      <c r="C1154" t="inlineStr">
        <is>
          <t>Journal Entry</t>
        </is>
      </c>
      <c r="D1154" t="inlineStr">
        <is>
          <t>JE-1021</t>
        </is>
      </c>
      <c r="E1154" t="inlineStr">
        <is>
          <t>Tailspin Tools</t>
        </is>
      </c>
      <c r="F1154" t="inlineStr">
        <is>
          <t>Software 2025-05</t>
        </is>
      </c>
      <c r="G1154" t="inlineStr">
        <is>
          <t>1310</t>
        </is>
      </c>
      <c r="H1154" t="inlineStr">
        <is>
          <t>Prepaid Software</t>
        </is>
      </c>
      <c r="I1154" t="inlineStr">
        <is>
          <t>Overhead</t>
        </is>
      </c>
      <c r="K1154">
        <f>800.00</f>
        <v/>
      </c>
    </row>
    <row r="1155">
      <c r="A1155" t="inlineStr">
        <is>
          <t>Total for T-00227</t>
        </is>
      </c>
      <c r="J1155">
        <f>J1153</f>
        <v/>
      </c>
      <c r="K1155">
        <f>K1154</f>
        <v/>
      </c>
    </row>
    <row r="1156"/>
    <row r="1157">
      <c r="A1157" t="inlineStr">
        <is>
          <t>T-00228</t>
        </is>
      </c>
    </row>
    <row r="1158">
      <c r="B1158" t="inlineStr">
        <is>
          <t>05/31/2025</t>
        </is>
      </c>
      <c r="C1158" t="inlineStr">
        <is>
          <t>Journal Entry</t>
        </is>
      </c>
      <c r="D1158" t="inlineStr">
        <is>
          <t>JE-1022</t>
        </is>
      </c>
      <c r="E1158" t="inlineStr">
        <is>
          <t>Orion Design Works</t>
        </is>
      </c>
      <c r="F1158" t="inlineStr">
        <is>
          <t>Design license 2025-05</t>
        </is>
      </c>
      <c r="G1158" t="inlineStr">
        <is>
          <t>7100</t>
        </is>
      </c>
      <c r="H1158" t="inlineStr">
        <is>
          <t>Amortization Expense</t>
        </is>
      </c>
      <c r="I1158" t="inlineStr">
        <is>
          <t>Product</t>
        </is>
      </c>
      <c r="J1158">
        <f>1000.00</f>
        <v/>
      </c>
    </row>
    <row r="1159">
      <c r="B1159" t="inlineStr">
        <is>
          <t>05/31/2025</t>
        </is>
      </c>
      <c r="C1159" t="inlineStr">
        <is>
          <t>Journal Entry</t>
        </is>
      </c>
      <c r="D1159" t="inlineStr">
        <is>
          <t>JE-1022</t>
        </is>
      </c>
      <c r="E1159" t="inlineStr">
        <is>
          <t>Orion Design Works</t>
        </is>
      </c>
      <c r="F1159" t="inlineStr">
        <is>
          <t>Design license 2025-05</t>
        </is>
      </c>
      <c r="G1159" t="inlineStr">
        <is>
          <t>1610</t>
        </is>
      </c>
      <c r="H1159" t="inlineStr">
        <is>
          <t>Accumulated Amortization - Design License</t>
        </is>
      </c>
      <c r="I1159" t="inlineStr">
        <is>
          <t>Product</t>
        </is>
      </c>
      <c r="K1159">
        <f>1000.00</f>
        <v/>
      </c>
    </row>
    <row r="1160">
      <c r="A1160" t="inlineStr">
        <is>
          <t>Total for T-00228</t>
        </is>
      </c>
      <c r="J1160">
        <f>J1158</f>
        <v/>
      </c>
      <c r="K1160">
        <f>K1159</f>
        <v/>
      </c>
    </row>
    <row r="1161"/>
    <row r="1162">
      <c r="A1162" t="inlineStr">
        <is>
          <t>T-00229</t>
        </is>
      </c>
    </row>
    <row r="1163">
      <c r="B1163" t="inlineStr">
        <is>
          <t>05/31/2025</t>
        </is>
      </c>
      <c r="C1163" t="inlineStr">
        <is>
          <t>Journal Entry</t>
        </is>
      </c>
      <c r="D1163" t="inlineStr">
        <is>
          <t>JE-1023</t>
        </is>
      </c>
      <c r="E1163" t="inlineStr"/>
      <c r="F1163" t="inlineStr">
        <is>
          <t>Depreciation 2025-05</t>
        </is>
      </c>
      <c r="G1163" t="inlineStr">
        <is>
          <t>7000</t>
        </is>
      </c>
      <c r="H1163" t="inlineStr">
        <is>
          <t>Depreciation Expense</t>
        </is>
      </c>
      <c r="I1163" t="inlineStr">
        <is>
          <t>Product</t>
        </is>
      </c>
      <c r="J1163">
        <f>800.00</f>
        <v/>
      </c>
    </row>
    <row r="1164">
      <c r="B1164" t="inlineStr">
        <is>
          <t>05/31/2025</t>
        </is>
      </c>
      <c r="C1164" t="inlineStr">
        <is>
          <t>Journal Entry</t>
        </is>
      </c>
      <c r="D1164" t="inlineStr">
        <is>
          <t>JE-1023</t>
        </is>
      </c>
      <c r="E1164" t="inlineStr"/>
      <c r="F1164" t="inlineStr">
        <is>
          <t>Depreciation 2025-05</t>
        </is>
      </c>
      <c r="G1164" t="inlineStr">
        <is>
          <t>1510</t>
        </is>
      </c>
      <c r="H1164" t="inlineStr">
        <is>
          <t>Accumulated Depreciation</t>
        </is>
      </c>
      <c r="I1164" t="inlineStr">
        <is>
          <t>Product</t>
        </is>
      </c>
      <c r="K1164">
        <f>800.00</f>
        <v/>
      </c>
    </row>
    <row r="1165">
      <c r="A1165" t="inlineStr">
        <is>
          <t>Total for T-00229</t>
        </is>
      </c>
      <c r="J1165">
        <f>J1163</f>
        <v/>
      </c>
      <c r="K1165">
        <f>K1164</f>
        <v/>
      </c>
    </row>
    <row r="1166"/>
    <row r="1167">
      <c r="A1167" t="inlineStr">
        <is>
          <t>T-00230</t>
        </is>
      </c>
    </row>
    <row r="1168">
      <c r="B1168" t="inlineStr">
        <is>
          <t>06/01/2025</t>
        </is>
      </c>
      <c r="C1168" t="inlineStr">
        <is>
          <t>Expense</t>
        </is>
      </c>
      <c r="D1168" t="inlineStr"/>
      <c r="E1168" t="inlineStr">
        <is>
          <t>Wingtip Workspace</t>
        </is>
      </c>
      <c r="F1168" t="inlineStr">
        <is>
          <t>Office rent 2025-06</t>
        </is>
      </c>
      <c r="G1168" t="inlineStr">
        <is>
          <t>6400</t>
        </is>
      </c>
      <c r="H1168" t="inlineStr">
        <is>
          <t>Rent</t>
        </is>
      </c>
      <c r="I1168" t="inlineStr">
        <is>
          <t>Overhead</t>
        </is>
      </c>
      <c r="J1168">
        <f>6500.00</f>
        <v/>
      </c>
    </row>
    <row r="1169">
      <c r="B1169" t="inlineStr">
        <is>
          <t>06/01/2025</t>
        </is>
      </c>
      <c r="C1169" t="inlineStr">
        <is>
          <t>Expense</t>
        </is>
      </c>
      <c r="D1169" t="inlineStr"/>
      <c r="E1169" t="inlineStr">
        <is>
          <t>Wingtip Workspace</t>
        </is>
      </c>
      <c r="F1169" t="inlineStr">
        <is>
          <t>Office rent 2025-06</t>
        </is>
      </c>
      <c r="G1169" t="inlineStr">
        <is>
          <t>1010</t>
        </is>
      </c>
      <c r="H1169" t="inlineStr">
        <is>
          <t>Northgate Checking 7742</t>
        </is>
      </c>
      <c r="I1169" t="inlineStr">
        <is>
          <t>Overhead</t>
        </is>
      </c>
      <c r="K1169">
        <f>6500.00</f>
        <v/>
      </c>
    </row>
    <row r="1170">
      <c r="A1170" t="inlineStr">
        <is>
          <t>Total for T-00230</t>
        </is>
      </c>
      <c r="J1170">
        <f>J1168</f>
        <v/>
      </c>
      <c r="K1170">
        <f>K1169</f>
        <v/>
      </c>
    </row>
    <row r="1171"/>
    <row r="1172">
      <c r="A1172" t="inlineStr">
        <is>
          <t>T-00278</t>
        </is>
      </c>
    </row>
    <row r="1173">
      <c r="B1173" t="inlineStr">
        <is>
          <t>06/02/2025</t>
        </is>
      </c>
      <c r="C1173" t="inlineStr">
        <is>
          <t>Expense</t>
        </is>
      </c>
      <c r="D1173" t="inlineStr"/>
      <c r="E1173" t="inlineStr">
        <is>
          <t>Redwood Prototyping</t>
        </is>
      </c>
      <c r="F1173" t="inlineStr">
        <is>
          <t>Redwood Prototyping invoice 46757</t>
        </is>
      </c>
      <c r="G1173" t="inlineStr">
        <is>
          <t>6100</t>
        </is>
      </c>
      <c r="H1173" t="inlineStr">
        <is>
          <t>Contract Engineering</t>
        </is>
      </c>
      <c r="I1173" t="inlineStr">
        <is>
          <t>Product</t>
        </is>
      </c>
      <c r="J1173">
        <f>784.94</f>
        <v/>
      </c>
    </row>
    <row r="1174">
      <c r="B1174" t="inlineStr">
        <is>
          <t>06/02/2025</t>
        </is>
      </c>
      <c r="C1174" t="inlineStr">
        <is>
          <t>Expense</t>
        </is>
      </c>
      <c r="D1174" t="inlineStr"/>
      <c r="E1174" t="inlineStr">
        <is>
          <t>Redwood Prototyping</t>
        </is>
      </c>
      <c r="F1174" t="inlineStr">
        <is>
          <t>Redwood Prototyping invoice 46757</t>
        </is>
      </c>
      <c r="G1174" t="inlineStr">
        <is>
          <t>1010</t>
        </is>
      </c>
      <c r="H1174" t="inlineStr">
        <is>
          <t>Northgate Checking 7742</t>
        </is>
      </c>
      <c r="I1174" t="inlineStr">
        <is>
          <t>Product</t>
        </is>
      </c>
      <c r="K1174">
        <f>784.94</f>
        <v/>
      </c>
    </row>
    <row r="1175">
      <c r="A1175" t="inlineStr">
        <is>
          <t>Total for T-00278</t>
        </is>
      </c>
      <c r="J1175">
        <f>J1173</f>
        <v/>
      </c>
      <c r="K1175">
        <f>K1174</f>
        <v/>
      </c>
    </row>
    <row r="1176"/>
    <row r="1177">
      <c r="A1177" t="inlineStr">
        <is>
          <t>T-00249</t>
        </is>
      </c>
    </row>
    <row r="1178">
      <c r="B1178" t="inlineStr">
        <is>
          <t>06/03/2025</t>
        </is>
      </c>
      <c r="C1178" t="inlineStr">
        <is>
          <t>Credit Card Charge</t>
        </is>
      </c>
      <c r="D1178" t="inlineStr"/>
      <c r="E1178" t="inlineStr">
        <is>
          <t>Metro Rideshare</t>
        </is>
      </c>
      <c r="F1178" t="inlineStr">
        <is>
          <t>Metro Rideshare 2025-06</t>
        </is>
      </c>
      <c r="G1178" t="inlineStr">
        <is>
          <t>6900</t>
        </is>
      </c>
      <c r="H1178" t="inlineStr">
        <is>
          <t>Travel and Meals</t>
        </is>
      </c>
      <c r="I1178" t="inlineStr">
        <is>
          <t>Overhead</t>
        </is>
      </c>
      <c r="J1178">
        <f>22.00</f>
        <v/>
      </c>
    </row>
    <row r="1179">
      <c r="B1179" t="inlineStr">
        <is>
          <t>06/03/2025</t>
        </is>
      </c>
      <c r="C1179" t="inlineStr">
        <is>
          <t>Credit Card Charge</t>
        </is>
      </c>
      <c r="D1179" t="inlineStr"/>
      <c r="E1179" t="inlineStr">
        <is>
          <t>Metro Rideshare</t>
        </is>
      </c>
      <c r="F1179" t="inlineStr">
        <is>
          <t>Metro Rideshare 2025-06</t>
        </is>
      </c>
      <c r="H1179" t="inlineStr">
        <is>
          <t>Vantage Credit Card 3391</t>
        </is>
      </c>
      <c r="I1179" t="inlineStr">
        <is>
          <t>Overhead</t>
        </is>
      </c>
      <c r="K1179">
        <f>22.00</f>
        <v/>
      </c>
    </row>
    <row r="1180">
      <c r="A1180" t="inlineStr">
        <is>
          <t>Total for T-00249</t>
        </is>
      </c>
      <c r="J1180">
        <f>J1178</f>
        <v/>
      </c>
      <c r="K1180">
        <f>K1179</f>
        <v/>
      </c>
    </row>
    <row r="1181"/>
    <row r="1182">
      <c r="A1182" t="inlineStr">
        <is>
          <t>T-00264</t>
        </is>
      </c>
    </row>
    <row r="1183">
      <c r="B1183" t="inlineStr">
        <is>
          <t>06/03/2025</t>
        </is>
      </c>
      <c r="C1183" t="inlineStr">
        <is>
          <t>Credit Card Charge</t>
        </is>
      </c>
      <c r="D1183" t="inlineStr"/>
      <c r="E1183" t="inlineStr">
        <is>
          <t>Metro Rideshare</t>
        </is>
      </c>
      <c r="F1183" t="inlineStr">
        <is>
          <t>Metro Rideshare 2025-06</t>
        </is>
      </c>
      <c r="G1183" t="inlineStr">
        <is>
          <t>6900</t>
        </is>
      </c>
      <c r="H1183" t="inlineStr">
        <is>
          <t>Travel and Meals</t>
        </is>
      </c>
      <c r="I1183" t="inlineStr">
        <is>
          <t>Overhead</t>
        </is>
      </c>
      <c r="J1183">
        <f>37.64</f>
        <v/>
      </c>
    </row>
    <row r="1184">
      <c r="B1184" t="inlineStr">
        <is>
          <t>06/03/2025</t>
        </is>
      </c>
      <c r="C1184" t="inlineStr">
        <is>
          <t>Credit Card Charge</t>
        </is>
      </c>
      <c r="D1184" t="inlineStr"/>
      <c r="E1184" t="inlineStr">
        <is>
          <t>Metro Rideshare</t>
        </is>
      </c>
      <c r="F1184" t="inlineStr">
        <is>
          <t>Metro Rideshare 2025-06</t>
        </is>
      </c>
      <c r="H1184" t="inlineStr">
        <is>
          <t>Vantage Credit Card 3391</t>
        </is>
      </c>
      <c r="I1184" t="inlineStr">
        <is>
          <t>Overhead</t>
        </is>
      </c>
      <c r="K1184">
        <f>37.64</f>
        <v/>
      </c>
    </row>
    <row r="1185">
      <c r="A1185" t="inlineStr">
        <is>
          <t>Total for T-00264</t>
        </is>
      </c>
      <c r="J1185">
        <f>J1183</f>
        <v/>
      </c>
      <c r="K1185">
        <f>K1184</f>
        <v/>
      </c>
    </row>
    <row r="1186"/>
    <row r="1187">
      <c r="A1187" t="inlineStr">
        <is>
          <t>T-00269</t>
        </is>
      </c>
    </row>
    <row r="1188">
      <c r="B1188" t="inlineStr">
        <is>
          <t>06/03/2025</t>
        </is>
      </c>
      <c r="C1188" t="inlineStr">
        <is>
          <t>Expense</t>
        </is>
      </c>
      <c r="D1188" t="inlineStr"/>
      <c r="E1188" t="inlineStr">
        <is>
          <t>Redwood Prototyping</t>
        </is>
      </c>
      <c r="F1188" t="inlineStr">
        <is>
          <t>Redwood Prototyping invoice 95228</t>
        </is>
      </c>
      <c r="G1188" t="inlineStr">
        <is>
          <t>6100</t>
        </is>
      </c>
      <c r="H1188" t="inlineStr">
        <is>
          <t>Contract Engineering</t>
        </is>
      </c>
      <c r="I1188" t="inlineStr">
        <is>
          <t>Product</t>
        </is>
      </c>
      <c r="J1188">
        <f>997.43</f>
        <v/>
      </c>
    </row>
    <row r="1189">
      <c r="B1189" t="inlineStr">
        <is>
          <t>06/03/2025</t>
        </is>
      </c>
      <c r="C1189" t="inlineStr">
        <is>
          <t>Expense</t>
        </is>
      </c>
      <c r="D1189" t="inlineStr"/>
      <c r="E1189" t="inlineStr">
        <is>
          <t>Redwood Prototyping</t>
        </is>
      </c>
      <c r="F1189" t="inlineStr">
        <is>
          <t>Redwood Prototyping invoice 95228</t>
        </is>
      </c>
      <c r="G1189" t="inlineStr">
        <is>
          <t>1010</t>
        </is>
      </c>
      <c r="H1189" t="inlineStr">
        <is>
          <t>Northgate Checking 7742</t>
        </is>
      </c>
      <c r="I1189" t="inlineStr">
        <is>
          <t>Product</t>
        </is>
      </c>
      <c r="K1189">
        <f>997.43</f>
        <v/>
      </c>
    </row>
    <row r="1190">
      <c r="A1190" t="inlineStr">
        <is>
          <t>Total for T-00269</t>
        </is>
      </c>
      <c r="J1190">
        <f>J1188</f>
        <v/>
      </c>
      <c r="K1190">
        <f>K1189</f>
        <v/>
      </c>
    </row>
    <row r="1191"/>
    <row r="1192">
      <c r="A1192" t="inlineStr">
        <is>
          <t>T-00231</t>
        </is>
      </c>
    </row>
    <row r="1193">
      <c r="B1193" t="inlineStr">
        <is>
          <t>06/04/2025</t>
        </is>
      </c>
      <c r="C1193" t="inlineStr">
        <is>
          <t>Credit Card Charge</t>
        </is>
      </c>
      <c r="D1193" t="inlineStr"/>
      <c r="E1193" t="inlineStr">
        <is>
          <t>Contoso Cloud</t>
        </is>
      </c>
      <c r="F1193" t="inlineStr">
        <is>
          <t>Cloud hosting 2025-06</t>
        </is>
      </c>
      <c r="G1193" t="inlineStr">
        <is>
          <t>6300</t>
        </is>
      </c>
      <c r="H1193" t="inlineStr">
        <is>
          <t>Cloud Hosting</t>
        </is>
      </c>
      <c r="I1193" t="inlineStr">
        <is>
          <t>Services</t>
        </is>
      </c>
      <c r="J1193">
        <f>3000.00</f>
        <v/>
      </c>
    </row>
    <row r="1194">
      <c r="B1194" t="inlineStr">
        <is>
          <t>06/04/2025</t>
        </is>
      </c>
      <c r="C1194" t="inlineStr">
        <is>
          <t>Credit Card Charge</t>
        </is>
      </c>
      <c r="D1194" t="inlineStr"/>
      <c r="E1194" t="inlineStr">
        <is>
          <t>Contoso Cloud</t>
        </is>
      </c>
      <c r="F1194" t="inlineStr">
        <is>
          <t>Cloud hosting 2025-06</t>
        </is>
      </c>
      <c r="H1194" t="inlineStr">
        <is>
          <t>Vantage Credit Card 3391</t>
        </is>
      </c>
      <c r="I1194" t="inlineStr">
        <is>
          <t>Services</t>
        </is>
      </c>
      <c r="K1194">
        <f>3000.00</f>
        <v/>
      </c>
    </row>
    <row r="1195">
      <c r="A1195" t="inlineStr">
        <is>
          <t>Total for T-00231</t>
        </is>
      </c>
      <c r="J1195">
        <f>J1193</f>
        <v/>
      </c>
      <c r="K1195">
        <f>K1194</f>
        <v/>
      </c>
    </row>
    <row r="1196"/>
    <row r="1197">
      <c r="A1197" t="inlineStr">
        <is>
          <t>T-00250</t>
        </is>
      </c>
    </row>
    <row r="1198">
      <c r="B1198" t="inlineStr">
        <is>
          <t>06/04/2025</t>
        </is>
      </c>
      <c r="C1198" t="inlineStr">
        <is>
          <t>Expense</t>
        </is>
      </c>
      <c r="D1198" t="inlineStr"/>
      <c r="E1198" t="inlineStr">
        <is>
          <t>Fabrikam Freight</t>
        </is>
      </c>
      <c r="F1198" t="inlineStr">
        <is>
          <t>Fabrikam Freight invoice 92669</t>
        </is>
      </c>
      <c r="G1198" t="inlineStr">
        <is>
          <t>5100</t>
        </is>
      </c>
      <c r="H1198" t="inlineStr">
        <is>
          <t>Shipping and Freight</t>
        </is>
      </c>
      <c r="I1198" t="inlineStr">
        <is>
          <t>Product</t>
        </is>
      </c>
      <c r="J1198">
        <f>543.16</f>
        <v/>
      </c>
    </row>
    <row r="1199">
      <c r="B1199" t="inlineStr">
        <is>
          <t>06/04/2025</t>
        </is>
      </c>
      <c r="C1199" t="inlineStr">
        <is>
          <t>Expense</t>
        </is>
      </c>
      <c r="D1199" t="inlineStr"/>
      <c r="E1199" t="inlineStr">
        <is>
          <t>Fabrikam Freight</t>
        </is>
      </c>
      <c r="F1199" t="inlineStr">
        <is>
          <t>Fabrikam Freight invoice 92669</t>
        </is>
      </c>
      <c r="G1199" t="inlineStr">
        <is>
          <t>1010</t>
        </is>
      </c>
      <c r="H1199" t="inlineStr">
        <is>
          <t>Northgate Checking 7742</t>
        </is>
      </c>
      <c r="I1199" t="inlineStr">
        <is>
          <t>Product</t>
        </is>
      </c>
      <c r="K1199">
        <f>543.16</f>
        <v/>
      </c>
    </row>
    <row r="1200">
      <c r="A1200" t="inlineStr">
        <is>
          <t>Total for T-00250</t>
        </is>
      </c>
      <c r="J1200">
        <f>J1198</f>
        <v/>
      </c>
      <c r="K1200">
        <f>K1199</f>
        <v/>
      </c>
    </row>
    <row r="1201"/>
    <row r="1202">
      <c r="A1202" t="inlineStr">
        <is>
          <t>T-00233</t>
        </is>
      </c>
    </row>
    <row r="1203">
      <c r="B1203" t="inlineStr">
        <is>
          <t>06/05/2025</t>
        </is>
      </c>
      <c r="C1203" t="inlineStr">
        <is>
          <t>Expense</t>
        </is>
      </c>
      <c r="D1203" t="inlineStr"/>
      <c r="E1203" t="inlineStr">
        <is>
          <t>Vantage Card</t>
        </is>
      </c>
      <c r="F1203" t="inlineStr">
        <is>
          <t>Vantage card payment</t>
        </is>
      </c>
      <c r="G1203" t="inlineStr">
        <is>
          <t>2100</t>
        </is>
      </c>
      <c r="H1203" t="inlineStr">
        <is>
          <t>Vantage Card 3391</t>
        </is>
      </c>
      <c r="I1203" t="inlineStr">
        <is>
          <t>Overhead</t>
        </is>
      </c>
      <c r="J1203">
        <f>10743.03</f>
        <v/>
      </c>
    </row>
    <row r="1204">
      <c r="B1204" t="inlineStr">
        <is>
          <t>06/05/2025</t>
        </is>
      </c>
      <c r="C1204" t="inlineStr">
        <is>
          <t>Expense</t>
        </is>
      </c>
      <c r="D1204" t="inlineStr"/>
      <c r="E1204" t="inlineStr">
        <is>
          <t>Vantage Card</t>
        </is>
      </c>
      <c r="F1204" t="inlineStr">
        <is>
          <t>Vantage card payment</t>
        </is>
      </c>
      <c r="G1204" t="inlineStr">
        <is>
          <t>1010</t>
        </is>
      </c>
      <c r="H1204" t="inlineStr">
        <is>
          <t>Northgate Checking 7742</t>
        </is>
      </c>
      <c r="I1204" t="inlineStr">
        <is>
          <t>Overhead</t>
        </is>
      </c>
      <c r="K1204">
        <f>10743.03</f>
        <v/>
      </c>
    </row>
    <row r="1205">
      <c r="A1205" t="inlineStr">
        <is>
          <t>Total for T-00233</t>
        </is>
      </c>
      <c r="J1205">
        <f>J1203</f>
        <v/>
      </c>
      <c r="K1205">
        <f>K1204</f>
        <v/>
      </c>
    </row>
    <row r="1206"/>
    <row r="1207">
      <c r="A1207" t="inlineStr">
        <is>
          <t>T-00234</t>
        </is>
      </c>
    </row>
    <row r="1208">
      <c r="B1208" t="inlineStr">
        <is>
          <t>06/05/2025</t>
        </is>
      </c>
      <c r="C1208" t="inlineStr">
        <is>
          <t>Transfer</t>
        </is>
      </c>
      <c r="D1208" t="inlineStr"/>
      <c r="E1208" t="inlineStr"/>
      <c r="F1208" t="inlineStr">
        <is>
          <t>Transfer to savings</t>
        </is>
      </c>
      <c r="G1208" t="inlineStr">
        <is>
          <t>1020</t>
        </is>
      </c>
      <c r="H1208" t="inlineStr">
        <is>
          <t>Northgate Savings 7809</t>
        </is>
      </c>
      <c r="I1208" t="inlineStr">
        <is>
          <t>Overhead</t>
        </is>
      </c>
      <c r="J1208">
        <f>5000.00</f>
        <v/>
      </c>
    </row>
    <row r="1209">
      <c r="B1209" t="inlineStr">
        <is>
          <t>06/05/2025</t>
        </is>
      </c>
      <c r="C1209" t="inlineStr">
        <is>
          <t>Transfer</t>
        </is>
      </c>
      <c r="D1209" t="inlineStr"/>
      <c r="E1209" t="inlineStr"/>
      <c r="F1209" t="inlineStr">
        <is>
          <t>Transfer to savings</t>
        </is>
      </c>
      <c r="G1209" t="inlineStr">
        <is>
          <t>1010</t>
        </is>
      </c>
      <c r="H1209" t="inlineStr">
        <is>
          <t>Northgate Checking 7742</t>
        </is>
      </c>
      <c r="I1209" t="inlineStr">
        <is>
          <t>Overhead</t>
        </is>
      </c>
      <c r="K1209">
        <f>5000.00</f>
        <v/>
      </c>
    </row>
    <row r="1210">
      <c r="A1210" t="inlineStr">
        <is>
          <t>Total for T-00234</t>
        </is>
      </c>
      <c r="J1210">
        <f>J1208</f>
        <v/>
      </c>
      <c r="K1210">
        <f>K1209</f>
        <v/>
      </c>
    </row>
    <row r="1211"/>
    <row r="1212">
      <c r="A1212" t="inlineStr">
        <is>
          <t>T-00255</t>
        </is>
      </c>
    </row>
    <row r="1213">
      <c r="B1213" t="inlineStr">
        <is>
          <t>06/05/2025</t>
        </is>
      </c>
      <c r="C1213" t="inlineStr">
        <is>
          <t>Credit Card Charge</t>
        </is>
      </c>
      <c r="D1213" t="inlineStr"/>
      <c r="E1213" t="inlineStr">
        <is>
          <t>Skyward Air</t>
        </is>
      </c>
      <c r="F1213" t="inlineStr">
        <is>
          <t>Skyward Air 2025-06</t>
        </is>
      </c>
      <c r="G1213" t="inlineStr">
        <is>
          <t>6900</t>
        </is>
      </c>
      <c r="H1213" t="inlineStr">
        <is>
          <t>Travel and Meals</t>
        </is>
      </c>
      <c r="I1213" t="inlineStr">
        <is>
          <t>Overhead</t>
        </is>
      </c>
      <c r="J1213">
        <f>824.11</f>
        <v/>
      </c>
    </row>
    <row r="1214">
      <c r="B1214" t="inlineStr">
        <is>
          <t>06/05/2025</t>
        </is>
      </c>
      <c r="C1214" t="inlineStr">
        <is>
          <t>Credit Card Charge</t>
        </is>
      </c>
      <c r="D1214" t="inlineStr"/>
      <c r="E1214" t="inlineStr">
        <is>
          <t>Skyward Air</t>
        </is>
      </c>
      <c r="F1214" t="inlineStr">
        <is>
          <t>Skyward Air 2025-06</t>
        </is>
      </c>
      <c r="H1214" t="inlineStr">
        <is>
          <t>Vantage Credit Card 3391</t>
        </is>
      </c>
      <c r="I1214" t="inlineStr">
        <is>
          <t>Overhead</t>
        </is>
      </c>
      <c r="K1214">
        <f>824.11</f>
        <v/>
      </c>
    </row>
    <row r="1215">
      <c r="A1215" t="inlineStr">
        <is>
          <t>Total for T-00255</t>
        </is>
      </c>
      <c r="J1215">
        <f>J1213</f>
        <v/>
      </c>
      <c r="K1215">
        <f>K1214</f>
        <v/>
      </c>
    </row>
    <row r="1216"/>
    <row r="1217">
      <c r="A1217" t="inlineStr">
        <is>
          <t>T-00256</t>
        </is>
      </c>
    </row>
    <row r="1218">
      <c r="B1218" t="inlineStr">
        <is>
          <t>06/05/2025</t>
        </is>
      </c>
      <c r="C1218" t="inlineStr">
        <is>
          <t>Expense</t>
        </is>
      </c>
      <c r="D1218" t="inlineStr"/>
      <c r="E1218" t="inlineStr">
        <is>
          <t>Bluepeak Engineering</t>
        </is>
      </c>
      <c r="F1218" t="inlineStr">
        <is>
          <t>Bluepeak Engineering invoice 96678</t>
        </is>
      </c>
      <c r="G1218" t="inlineStr">
        <is>
          <t>6100</t>
        </is>
      </c>
      <c r="H1218" t="inlineStr">
        <is>
          <t>Contract Engineering</t>
        </is>
      </c>
      <c r="I1218" t="inlineStr">
        <is>
          <t>Product</t>
        </is>
      </c>
      <c r="J1218">
        <f>724.91</f>
        <v/>
      </c>
    </row>
    <row r="1219">
      <c r="B1219" t="inlineStr">
        <is>
          <t>06/05/2025</t>
        </is>
      </c>
      <c r="C1219" t="inlineStr">
        <is>
          <t>Expense</t>
        </is>
      </c>
      <c r="D1219" t="inlineStr"/>
      <c r="E1219" t="inlineStr">
        <is>
          <t>Bluepeak Engineering</t>
        </is>
      </c>
      <c r="F1219" t="inlineStr">
        <is>
          <t>Bluepeak Engineering invoice 96678</t>
        </is>
      </c>
      <c r="G1219" t="inlineStr">
        <is>
          <t>1010</t>
        </is>
      </c>
      <c r="H1219" t="inlineStr">
        <is>
          <t>Northgate Checking 7742</t>
        </is>
      </c>
      <c r="I1219" t="inlineStr">
        <is>
          <t>Product</t>
        </is>
      </c>
      <c r="K1219">
        <f>724.91</f>
        <v/>
      </c>
    </row>
    <row r="1220">
      <c r="A1220" t="inlineStr">
        <is>
          <t>Total for T-00256</t>
        </is>
      </c>
      <c r="J1220">
        <f>J1218</f>
        <v/>
      </c>
      <c r="K1220">
        <f>K1219</f>
        <v/>
      </c>
    </row>
    <row r="1221"/>
    <row r="1222">
      <c r="A1222" t="inlineStr">
        <is>
          <t>T-00280</t>
        </is>
      </c>
    </row>
    <row r="1223">
      <c r="B1223" t="inlineStr">
        <is>
          <t>06/05/2025</t>
        </is>
      </c>
      <c r="C1223" t="inlineStr">
        <is>
          <t>Expense</t>
        </is>
      </c>
      <c r="D1223" t="inlineStr"/>
      <c r="E1223" t="inlineStr">
        <is>
          <t>Quartz CAD Services</t>
        </is>
      </c>
      <c r="F1223" t="inlineStr">
        <is>
          <t>Quartz CAD Services invoice 18855</t>
        </is>
      </c>
      <c r="G1223" t="inlineStr">
        <is>
          <t>6100</t>
        </is>
      </c>
      <c r="H1223" t="inlineStr">
        <is>
          <t>Contract Engineering</t>
        </is>
      </c>
      <c r="I1223" t="inlineStr">
        <is>
          <t>Product</t>
        </is>
      </c>
      <c r="J1223">
        <f>506.56</f>
        <v/>
      </c>
    </row>
    <row r="1224">
      <c r="B1224" t="inlineStr">
        <is>
          <t>06/05/2025</t>
        </is>
      </c>
      <c r="C1224" t="inlineStr">
        <is>
          <t>Expense</t>
        </is>
      </c>
      <c r="D1224" t="inlineStr"/>
      <c r="E1224" t="inlineStr">
        <is>
          <t>Quartz CAD Services</t>
        </is>
      </c>
      <c r="F1224" t="inlineStr">
        <is>
          <t>Quartz CAD Services invoice 18855</t>
        </is>
      </c>
      <c r="G1224" t="inlineStr">
        <is>
          <t>1010</t>
        </is>
      </c>
      <c r="H1224" t="inlineStr">
        <is>
          <t>Northgate Checking 7742</t>
        </is>
      </c>
      <c r="I1224" t="inlineStr">
        <is>
          <t>Product</t>
        </is>
      </c>
      <c r="K1224">
        <f>506.56</f>
        <v/>
      </c>
    </row>
    <row r="1225">
      <c r="A1225" t="inlineStr">
        <is>
          <t>Total for T-00280</t>
        </is>
      </c>
      <c r="J1225">
        <f>J1223</f>
        <v/>
      </c>
      <c r="K1225">
        <f>K1224</f>
        <v/>
      </c>
    </row>
    <row r="1226"/>
    <row r="1227">
      <c r="A1227" t="inlineStr">
        <is>
          <t>T-00276</t>
        </is>
      </c>
    </row>
    <row r="1228">
      <c r="B1228" t="inlineStr">
        <is>
          <t>06/07/2025</t>
        </is>
      </c>
      <c r="C1228" t="inlineStr">
        <is>
          <t>Expense</t>
        </is>
      </c>
      <c r="D1228" t="inlineStr"/>
      <c r="E1228" t="inlineStr">
        <is>
          <t>Quartz CAD Services</t>
        </is>
      </c>
      <c r="F1228" t="inlineStr">
        <is>
          <t>Quartz CAD Services invoice 20889</t>
        </is>
      </c>
      <c r="G1228" t="inlineStr">
        <is>
          <t>6100</t>
        </is>
      </c>
      <c r="H1228" t="inlineStr">
        <is>
          <t>Contract Engineering</t>
        </is>
      </c>
      <c r="I1228" t="inlineStr">
        <is>
          <t>Product</t>
        </is>
      </c>
      <c r="J1228">
        <f>238.53</f>
        <v/>
      </c>
    </row>
    <row r="1229">
      <c r="B1229" t="inlineStr">
        <is>
          <t>06/07/2025</t>
        </is>
      </c>
      <c r="C1229" t="inlineStr">
        <is>
          <t>Expense</t>
        </is>
      </c>
      <c r="D1229" t="inlineStr"/>
      <c r="E1229" t="inlineStr">
        <is>
          <t>Quartz CAD Services</t>
        </is>
      </c>
      <c r="F1229" t="inlineStr">
        <is>
          <t>Quartz CAD Services invoice 20889</t>
        </is>
      </c>
      <c r="G1229" t="inlineStr">
        <is>
          <t>1010</t>
        </is>
      </c>
      <c r="H1229" t="inlineStr">
        <is>
          <t>Northgate Checking 7742</t>
        </is>
      </c>
      <c r="I1229" t="inlineStr">
        <is>
          <t>Product</t>
        </is>
      </c>
      <c r="K1229">
        <f>238.53</f>
        <v/>
      </c>
    </row>
    <row r="1230">
      <c r="A1230" t="inlineStr">
        <is>
          <t>Total for T-00276</t>
        </is>
      </c>
      <c r="J1230">
        <f>J1228</f>
        <v/>
      </c>
      <c r="K1230">
        <f>K1229</f>
        <v/>
      </c>
    </row>
    <row r="1231"/>
    <row r="1232">
      <c r="A1232" t="inlineStr">
        <is>
          <t>T-00279</t>
        </is>
      </c>
    </row>
    <row r="1233">
      <c r="B1233" t="inlineStr">
        <is>
          <t>06/08/2025</t>
        </is>
      </c>
      <c r="C1233" t="inlineStr">
        <is>
          <t>Expense</t>
        </is>
      </c>
      <c r="D1233" t="inlineStr"/>
      <c r="E1233" t="inlineStr">
        <is>
          <t>Quartz CAD Services</t>
        </is>
      </c>
      <c r="F1233" t="inlineStr">
        <is>
          <t>Quartz CAD Services invoice 17452</t>
        </is>
      </c>
      <c r="G1233" t="inlineStr">
        <is>
          <t>6100</t>
        </is>
      </c>
      <c r="H1233" t="inlineStr">
        <is>
          <t>Contract Engineering</t>
        </is>
      </c>
      <c r="I1233" t="inlineStr">
        <is>
          <t>Product</t>
        </is>
      </c>
      <c r="J1233">
        <f>205.00</f>
        <v/>
      </c>
    </row>
    <row r="1234">
      <c r="B1234" t="inlineStr">
        <is>
          <t>06/08/2025</t>
        </is>
      </c>
      <c r="C1234" t="inlineStr">
        <is>
          <t>Expense</t>
        </is>
      </c>
      <c r="D1234" t="inlineStr"/>
      <c r="E1234" t="inlineStr">
        <is>
          <t>Quartz CAD Services</t>
        </is>
      </c>
      <c r="F1234" t="inlineStr">
        <is>
          <t>Quartz CAD Services invoice 17452</t>
        </is>
      </c>
      <c r="G1234" t="inlineStr">
        <is>
          <t>1010</t>
        </is>
      </c>
      <c r="H1234" t="inlineStr">
        <is>
          <t>Northgate Checking 7742</t>
        </is>
      </c>
      <c r="I1234" t="inlineStr">
        <is>
          <t>Product</t>
        </is>
      </c>
      <c r="K1234">
        <f>205.00</f>
        <v/>
      </c>
    </row>
    <row r="1235">
      <c r="A1235" t="inlineStr">
        <is>
          <t>Total for T-00279</t>
        </is>
      </c>
      <c r="J1235">
        <f>J1233</f>
        <v/>
      </c>
      <c r="K1235">
        <f>K1234</f>
        <v/>
      </c>
    </row>
    <row r="1236"/>
    <row r="1237">
      <c r="A1237" t="inlineStr">
        <is>
          <t>T-00253</t>
        </is>
      </c>
    </row>
    <row r="1238">
      <c r="B1238" t="inlineStr">
        <is>
          <t>06/09/2025</t>
        </is>
      </c>
      <c r="C1238" t="inlineStr">
        <is>
          <t>Expense</t>
        </is>
      </c>
      <c r="D1238" t="inlineStr"/>
      <c r="E1238" t="inlineStr">
        <is>
          <t>Redwood Prototyping</t>
        </is>
      </c>
      <c r="F1238" t="inlineStr">
        <is>
          <t>Redwood Prototyping invoice 76827</t>
        </is>
      </c>
      <c r="G1238" t="inlineStr">
        <is>
          <t>6100</t>
        </is>
      </c>
      <c r="H1238" t="inlineStr">
        <is>
          <t>Contract Engineering</t>
        </is>
      </c>
      <c r="I1238" t="inlineStr">
        <is>
          <t>Product</t>
        </is>
      </c>
      <c r="J1238">
        <f>388.17</f>
        <v/>
      </c>
    </row>
    <row r="1239">
      <c r="B1239" t="inlineStr">
        <is>
          <t>06/09/2025</t>
        </is>
      </c>
      <c r="C1239" t="inlineStr">
        <is>
          <t>Expense</t>
        </is>
      </c>
      <c r="D1239" t="inlineStr"/>
      <c r="E1239" t="inlineStr">
        <is>
          <t>Redwood Prototyping</t>
        </is>
      </c>
      <c r="F1239" t="inlineStr">
        <is>
          <t>Redwood Prototyping invoice 76827</t>
        </is>
      </c>
      <c r="G1239" t="inlineStr">
        <is>
          <t>1010</t>
        </is>
      </c>
      <c r="H1239" t="inlineStr">
        <is>
          <t>Northgate Checking 7742</t>
        </is>
      </c>
      <c r="I1239" t="inlineStr">
        <is>
          <t>Product</t>
        </is>
      </c>
      <c r="K1239">
        <f>388.17</f>
        <v/>
      </c>
    </row>
    <row r="1240">
      <c r="A1240" t="inlineStr">
        <is>
          <t>Total for T-00253</t>
        </is>
      </c>
      <c r="J1240">
        <f>J1238</f>
        <v/>
      </c>
      <c r="K1240">
        <f>K1239</f>
        <v/>
      </c>
    </row>
    <row r="1241"/>
    <row r="1242">
      <c r="A1242" t="inlineStr">
        <is>
          <t>T-00273</t>
        </is>
      </c>
    </row>
    <row r="1243">
      <c r="B1243" t="inlineStr">
        <is>
          <t>06/09/2025</t>
        </is>
      </c>
      <c r="C1243" t="inlineStr">
        <is>
          <t>Expense</t>
        </is>
      </c>
      <c r="D1243" t="inlineStr"/>
      <c r="E1243" t="inlineStr">
        <is>
          <t>Bluepeak Engineering</t>
        </is>
      </c>
      <c r="F1243" t="inlineStr">
        <is>
          <t>Bluepeak Engineering invoice 70157</t>
        </is>
      </c>
      <c r="G1243" t="inlineStr">
        <is>
          <t>6100</t>
        </is>
      </c>
      <c r="H1243" t="inlineStr">
        <is>
          <t>Contract Engineering</t>
        </is>
      </c>
      <c r="I1243" t="inlineStr">
        <is>
          <t>Product</t>
        </is>
      </c>
      <c r="J1243">
        <f>1844.24</f>
        <v/>
      </c>
    </row>
    <row r="1244">
      <c r="B1244" t="inlineStr">
        <is>
          <t>06/09/2025</t>
        </is>
      </c>
      <c r="C1244" t="inlineStr">
        <is>
          <t>Expense</t>
        </is>
      </c>
      <c r="D1244" t="inlineStr"/>
      <c r="E1244" t="inlineStr">
        <is>
          <t>Bluepeak Engineering</t>
        </is>
      </c>
      <c r="F1244" t="inlineStr">
        <is>
          <t>Bluepeak Engineering invoice 70157</t>
        </is>
      </c>
      <c r="G1244" t="inlineStr">
        <is>
          <t>1010</t>
        </is>
      </c>
      <c r="H1244" t="inlineStr">
        <is>
          <t>Northgate Checking 7742</t>
        </is>
      </c>
      <c r="I1244" t="inlineStr">
        <is>
          <t>Product</t>
        </is>
      </c>
      <c r="K1244">
        <f>1844.24</f>
        <v/>
      </c>
    </row>
    <row r="1245">
      <c r="A1245" t="inlineStr">
        <is>
          <t>Total for T-00273</t>
        </is>
      </c>
      <c r="J1245">
        <f>J1243</f>
        <v/>
      </c>
      <c r="K1245">
        <f>K1244</f>
        <v/>
      </c>
    </row>
    <row r="1246"/>
    <row r="1247">
      <c r="A1247" t="inlineStr">
        <is>
          <t>T-00235</t>
        </is>
      </c>
    </row>
    <row r="1248">
      <c r="B1248" t="inlineStr">
        <is>
          <t>06/10/2025</t>
        </is>
      </c>
      <c r="C1248" t="inlineStr">
        <is>
          <t>Invoice</t>
        </is>
      </c>
      <c r="D1248" t="inlineStr">
        <is>
          <t>INV-1010</t>
        </is>
      </c>
      <c r="E1248" t="inlineStr">
        <is>
          <t>Helios Manufacturing LLC</t>
        </is>
      </c>
      <c r="F1248" t="inlineStr">
        <is>
          <t>INV-1010 robot cell</t>
        </is>
      </c>
      <c r="G1248" t="inlineStr">
        <is>
          <t>1100</t>
        </is>
      </c>
      <c r="H1248" t="inlineStr">
        <is>
          <t>Accounts Receivable</t>
        </is>
      </c>
      <c r="I1248" t="inlineStr">
        <is>
          <t>Product</t>
        </is>
      </c>
      <c r="J1248">
        <f>40356.02</f>
        <v/>
      </c>
    </row>
    <row r="1249">
      <c r="B1249" t="inlineStr">
        <is>
          <t>06/10/2025</t>
        </is>
      </c>
      <c r="C1249" t="inlineStr">
        <is>
          <t>Invoice</t>
        </is>
      </c>
      <c r="D1249" t="inlineStr">
        <is>
          <t>INV-1010</t>
        </is>
      </c>
      <c r="E1249" t="inlineStr">
        <is>
          <t>Helios Manufacturing LLC</t>
        </is>
      </c>
      <c r="F1249" t="inlineStr">
        <is>
          <t>INV-1010 robot cell</t>
        </is>
      </c>
      <c r="G1249" t="inlineStr">
        <is>
          <t>4000</t>
        </is>
      </c>
      <c r="H1249" t="inlineStr">
        <is>
          <t>Product Revenue</t>
        </is>
      </c>
      <c r="I1249" t="inlineStr">
        <is>
          <t>Product</t>
        </is>
      </c>
      <c r="K1249">
        <f>40356.02</f>
        <v/>
      </c>
    </row>
    <row r="1250">
      <c r="A1250" t="inlineStr">
        <is>
          <t>Total for T-00235</t>
        </is>
      </c>
      <c r="J1250">
        <f>J1248</f>
        <v/>
      </c>
      <c r="K1250">
        <f>K1249</f>
        <v/>
      </c>
    </row>
    <row r="1251"/>
    <row r="1252">
      <c r="A1252" t="inlineStr">
        <is>
          <t>T-00236</t>
        </is>
      </c>
    </row>
    <row r="1253">
      <c r="B1253" t="inlineStr">
        <is>
          <t>06/10/2025</t>
        </is>
      </c>
      <c r="C1253" t="inlineStr">
        <is>
          <t>Invoice</t>
        </is>
      </c>
      <c r="D1253" t="inlineStr">
        <is>
          <t>INV-1011</t>
        </is>
      </c>
      <c r="E1253" t="inlineStr">
        <is>
          <t>Helios Manufacturing LLC</t>
        </is>
      </c>
      <c r="F1253" t="inlineStr">
        <is>
          <t>INV-1011 support plan</t>
        </is>
      </c>
      <c r="G1253" t="inlineStr">
        <is>
          <t>1100</t>
        </is>
      </c>
      <c r="H1253" t="inlineStr">
        <is>
          <t>Accounts Receivable</t>
        </is>
      </c>
      <c r="I1253" t="inlineStr">
        <is>
          <t>Services</t>
        </is>
      </c>
      <c r="J1253">
        <f>7750.00</f>
        <v/>
      </c>
    </row>
    <row r="1254">
      <c r="B1254" t="inlineStr">
        <is>
          <t>06/10/2025</t>
        </is>
      </c>
      <c r="C1254" t="inlineStr">
        <is>
          <t>Invoice</t>
        </is>
      </c>
      <c r="D1254" t="inlineStr">
        <is>
          <t>INV-1011</t>
        </is>
      </c>
      <c r="E1254" t="inlineStr">
        <is>
          <t>Helios Manufacturing LLC</t>
        </is>
      </c>
      <c r="F1254" t="inlineStr">
        <is>
          <t>INV-1011 support plan</t>
        </is>
      </c>
      <c r="G1254" t="inlineStr">
        <is>
          <t>4100</t>
        </is>
      </c>
      <c r="H1254" t="inlineStr">
        <is>
          <t>Service Revenue</t>
        </is>
      </c>
      <c r="I1254" t="inlineStr">
        <is>
          <t>Services</t>
        </is>
      </c>
      <c r="K1254">
        <f>7750.00</f>
        <v/>
      </c>
    </row>
    <row r="1255">
      <c r="A1255" t="inlineStr">
        <is>
          <t>Total for T-00236</t>
        </is>
      </c>
      <c r="J1255">
        <f>J1253</f>
        <v/>
      </c>
      <c r="K1255">
        <f>K1254</f>
        <v/>
      </c>
    </row>
    <row r="1256"/>
    <row r="1257">
      <c r="A1257" t="inlineStr">
        <is>
          <t>T-00237</t>
        </is>
      </c>
    </row>
    <row r="1258">
      <c r="B1258" t="inlineStr">
        <is>
          <t>06/10/2025</t>
        </is>
      </c>
      <c r="C1258" t="inlineStr">
        <is>
          <t>Payment</t>
        </is>
      </c>
      <c r="D1258" t="inlineStr"/>
      <c r="E1258" t="inlineStr">
        <is>
          <t>Volt Dynamics Inc</t>
        </is>
      </c>
      <c r="F1258" t="inlineStr">
        <is>
          <t>Payment on INV-1008</t>
        </is>
      </c>
      <c r="G1258" t="inlineStr">
        <is>
          <t>1010</t>
        </is>
      </c>
      <c r="H1258" t="inlineStr">
        <is>
          <t>Northgate Checking 7742</t>
        </is>
      </c>
      <c r="I1258" t="inlineStr">
        <is>
          <t>Overhead</t>
        </is>
      </c>
      <c r="J1258">
        <f>37846.45</f>
        <v/>
      </c>
    </row>
    <row r="1259">
      <c r="B1259" t="inlineStr">
        <is>
          <t>06/10/2025</t>
        </is>
      </c>
      <c r="C1259" t="inlineStr">
        <is>
          <t>Payment</t>
        </is>
      </c>
      <c r="D1259" t="inlineStr"/>
      <c r="E1259" t="inlineStr">
        <is>
          <t>Volt Dynamics Inc</t>
        </is>
      </c>
      <c r="F1259" t="inlineStr">
        <is>
          <t>Payment on INV-1008</t>
        </is>
      </c>
      <c r="G1259" t="inlineStr">
        <is>
          <t>1100</t>
        </is>
      </c>
      <c r="H1259" t="inlineStr">
        <is>
          <t>Accounts Receivable</t>
        </is>
      </c>
      <c r="I1259" t="inlineStr">
        <is>
          <t>Overhead</t>
        </is>
      </c>
      <c r="K1259">
        <f>37846.45</f>
        <v/>
      </c>
    </row>
    <row r="1260">
      <c r="A1260" t="inlineStr">
        <is>
          <t>Total for T-00237</t>
        </is>
      </c>
      <c r="J1260">
        <f>J1258</f>
        <v/>
      </c>
      <c r="K1260">
        <f>K1259</f>
        <v/>
      </c>
    </row>
    <row r="1261"/>
    <row r="1262">
      <c r="A1262" t="inlineStr">
        <is>
          <t>T-00238</t>
        </is>
      </c>
    </row>
    <row r="1263">
      <c r="B1263" t="inlineStr">
        <is>
          <t>06/10/2025</t>
        </is>
      </c>
      <c r="C1263" t="inlineStr">
        <is>
          <t>Payment</t>
        </is>
      </c>
      <c r="D1263" t="inlineStr"/>
      <c r="E1263" t="inlineStr">
        <is>
          <t>Volt Dynamics Inc</t>
        </is>
      </c>
      <c r="F1263" t="inlineStr">
        <is>
          <t>Payment on INV-1009</t>
        </is>
      </c>
      <c r="G1263" t="inlineStr">
        <is>
          <t>1010</t>
        </is>
      </c>
      <c r="H1263" t="inlineStr">
        <is>
          <t>Northgate Checking 7742</t>
        </is>
      </c>
      <c r="I1263" t="inlineStr">
        <is>
          <t>Overhead</t>
        </is>
      </c>
      <c r="J1263">
        <f>7500.00</f>
        <v/>
      </c>
    </row>
    <row r="1264">
      <c r="B1264" t="inlineStr">
        <is>
          <t>06/10/2025</t>
        </is>
      </c>
      <c r="C1264" t="inlineStr">
        <is>
          <t>Payment</t>
        </is>
      </c>
      <c r="D1264" t="inlineStr"/>
      <c r="E1264" t="inlineStr">
        <is>
          <t>Volt Dynamics Inc</t>
        </is>
      </c>
      <c r="F1264" t="inlineStr">
        <is>
          <t>Payment on INV-1009</t>
        </is>
      </c>
      <c r="G1264" t="inlineStr">
        <is>
          <t>1100</t>
        </is>
      </c>
      <c r="H1264" t="inlineStr">
        <is>
          <t>Accounts Receivable</t>
        </is>
      </c>
      <c r="I1264" t="inlineStr">
        <is>
          <t>Overhead</t>
        </is>
      </c>
      <c r="K1264">
        <f>7500.00</f>
        <v/>
      </c>
    </row>
    <row r="1265">
      <c r="A1265" t="inlineStr">
        <is>
          <t>Total for T-00238</t>
        </is>
      </c>
      <c r="J1265">
        <f>J1263</f>
        <v/>
      </c>
      <c r="K1265">
        <f>K1264</f>
        <v/>
      </c>
    </row>
    <row r="1266"/>
    <row r="1267">
      <c r="A1267" t="inlineStr">
        <is>
          <t>T-00247</t>
        </is>
      </c>
    </row>
    <row r="1268">
      <c r="B1268" t="inlineStr">
        <is>
          <t>06/10/2025</t>
        </is>
      </c>
      <c r="C1268" t="inlineStr">
        <is>
          <t>Expense</t>
        </is>
      </c>
      <c r="D1268" t="inlineStr"/>
      <c r="E1268" t="inlineStr">
        <is>
          <t>Northwind Supply</t>
        </is>
      </c>
      <c r="F1268" t="inlineStr">
        <is>
          <t>Northwind Supply invoice 53913</t>
        </is>
      </c>
      <c r="G1268" t="inlineStr">
        <is>
          <t>5000</t>
        </is>
      </c>
      <c r="H1268" t="inlineStr">
        <is>
          <t>Cost of Goods Sold - Components</t>
        </is>
      </c>
      <c r="I1268" t="inlineStr">
        <is>
          <t>Product</t>
        </is>
      </c>
      <c r="J1268">
        <f>350.46</f>
        <v/>
      </c>
    </row>
    <row r="1269">
      <c r="B1269" t="inlineStr">
        <is>
          <t>06/10/2025</t>
        </is>
      </c>
      <c r="C1269" t="inlineStr">
        <is>
          <t>Expense</t>
        </is>
      </c>
      <c r="D1269" t="inlineStr"/>
      <c r="E1269" t="inlineStr">
        <is>
          <t>Northwind Supply</t>
        </is>
      </c>
      <c r="F1269" t="inlineStr">
        <is>
          <t>Northwind Supply invoice 53913</t>
        </is>
      </c>
      <c r="G1269" t="inlineStr">
        <is>
          <t>1010</t>
        </is>
      </c>
      <c r="H1269" t="inlineStr">
        <is>
          <t>Northgate Checking 7742</t>
        </is>
      </c>
      <c r="I1269" t="inlineStr">
        <is>
          <t>Product</t>
        </is>
      </c>
      <c r="K1269">
        <f>350.46</f>
        <v/>
      </c>
    </row>
    <row r="1270">
      <c r="A1270" t="inlineStr">
        <is>
          <t>Total for T-00247</t>
        </is>
      </c>
      <c r="J1270">
        <f>J1268</f>
        <v/>
      </c>
      <c r="K1270">
        <f>K1269</f>
        <v/>
      </c>
    </row>
    <row r="1271"/>
    <row r="1272">
      <c r="A1272" t="inlineStr">
        <is>
          <t>T-00258</t>
        </is>
      </c>
    </row>
    <row r="1273">
      <c r="B1273" t="inlineStr">
        <is>
          <t>06/10/2025</t>
        </is>
      </c>
      <c r="C1273" t="inlineStr">
        <is>
          <t>Credit Card Charge</t>
        </is>
      </c>
      <c r="D1273" t="inlineStr"/>
      <c r="E1273" t="inlineStr">
        <is>
          <t>Harbor Diner</t>
        </is>
      </c>
      <c r="F1273" t="inlineStr">
        <is>
          <t>Harbor Diner 2025-06</t>
        </is>
      </c>
      <c r="G1273" t="inlineStr">
        <is>
          <t>6900</t>
        </is>
      </c>
      <c r="H1273" t="inlineStr">
        <is>
          <t>Travel and Meals</t>
        </is>
      </c>
      <c r="I1273" t="inlineStr">
        <is>
          <t>Overhead</t>
        </is>
      </c>
      <c r="J1273">
        <f>96.46</f>
        <v/>
      </c>
    </row>
    <row r="1274">
      <c r="B1274" t="inlineStr">
        <is>
          <t>06/10/2025</t>
        </is>
      </c>
      <c r="C1274" t="inlineStr">
        <is>
          <t>Credit Card Charge</t>
        </is>
      </c>
      <c r="D1274" t="inlineStr"/>
      <c r="E1274" t="inlineStr">
        <is>
          <t>Harbor Diner</t>
        </is>
      </c>
      <c r="F1274" t="inlineStr">
        <is>
          <t>Harbor Diner 2025-06</t>
        </is>
      </c>
      <c r="H1274" t="inlineStr">
        <is>
          <t>Vantage Credit Card 3391</t>
        </is>
      </c>
      <c r="I1274" t="inlineStr">
        <is>
          <t>Overhead</t>
        </is>
      </c>
      <c r="K1274">
        <f>96.46</f>
        <v/>
      </c>
    </row>
    <row r="1275">
      <c r="A1275" t="inlineStr">
        <is>
          <t>Total for T-00258</t>
        </is>
      </c>
      <c r="J1275">
        <f>J1273</f>
        <v/>
      </c>
      <c r="K1275">
        <f>K1274</f>
        <v/>
      </c>
    </row>
    <row r="1276"/>
    <row r="1277">
      <c r="A1277" t="inlineStr">
        <is>
          <t>T-00260</t>
        </is>
      </c>
    </row>
    <row r="1278">
      <c r="B1278" t="inlineStr">
        <is>
          <t>06/10/2025</t>
        </is>
      </c>
      <c r="C1278" t="inlineStr">
        <is>
          <t>Credit Card Charge</t>
        </is>
      </c>
      <c r="D1278" t="inlineStr"/>
      <c r="E1278" t="inlineStr">
        <is>
          <t>Contoso Cloud</t>
        </is>
      </c>
      <c r="F1278" t="inlineStr">
        <is>
          <t>Contoso Cloud 2025-06</t>
        </is>
      </c>
      <c r="G1278" t="inlineStr">
        <is>
          <t>6300</t>
        </is>
      </c>
      <c r="H1278" t="inlineStr">
        <is>
          <t>Cloud Hosting</t>
        </is>
      </c>
      <c r="I1278" t="inlineStr">
        <is>
          <t>Services</t>
        </is>
      </c>
      <c r="J1278">
        <f>999.02</f>
        <v/>
      </c>
    </row>
    <row r="1279">
      <c r="B1279" t="inlineStr">
        <is>
          <t>06/10/2025</t>
        </is>
      </c>
      <c r="C1279" t="inlineStr">
        <is>
          <t>Credit Card Charge</t>
        </is>
      </c>
      <c r="D1279" t="inlineStr"/>
      <c r="E1279" t="inlineStr">
        <is>
          <t>Contoso Cloud</t>
        </is>
      </c>
      <c r="F1279" t="inlineStr">
        <is>
          <t>Contoso Cloud 2025-06</t>
        </is>
      </c>
      <c r="H1279" t="inlineStr">
        <is>
          <t>Vantage Credit Card 3391</t>
        </is>
      </c>
      <c r="I1279" t="inlineStr">
        <is>
          <t>Services</t>
        </is>
      </c>
      <c r="K1279">
        <f>999.02</f>
        <v/>
      </c>
    </row>
    <row r="1280">
      <c r="A1280" t="inlineStr">
        <is>
          <t>Total for T-00260</t>
        </is>
      </c>
      <c r="J1280">
        <f>J1278</f>
        <v/>
      </c>
      <c r="K1280">
        <f>K1279</f>
        <v/>
      </c>
    </row>
    <row r="1281"/>
    <row r="1282">
      <c r="A1282" t="inlineStr">
        <is>
          <t>T-00272</t>
        </is>
      </c>
    </row>
    <row r="1283">
      <c r="B1283" t="inlineStr">
        <is>
          <t>06/11/2025</t>
        </is>
      </c>
      <c r="C1283" t="inlineStr">
        <is>
          <t>Expense</t>
        </is>
      </c>
      <c r="D1283" t="inlineStr"/>
      <c r="E1283" t="inlineStr">
        <is>
          <t>Litware Legal</t>
        </is>
      </c>
      <c r="F1283" t="inlineStr">
        <is>
          <t>Litware Legal invoice 91664</t>
        </is>
      </c>
      <c r="G1283" t="inlineStr">
        <is>
          <t>6800</t>
        </is>
      </c>
      <c r="H1283" t="inlineStr">
        <is>
          <t>Professional Fees</t>
        </is>
      </c>
      <c r="I1283" t="inlineStr">
        <is>
          <t>Overhead</t>
        </is>
      </c>
      <c r="J1283">
        <f>2282.01</f>
        <v/>
      </c>
    </row>
    <row r="1284">
      <c r="B1284" t="inlineStr">
        <is>
          <t>06/11/2025</t>
        </is>
      </c>
      <c r="C1284" t="inlineStr">
        <is>
          <t>Expense</t>
        </is>
      </c>
      <c r="D1284" t="inlineStr"/>
      <c r="E1284" t="inlineStr">
        <is>
          <t>Litware Legal</t>
        </is>
      </c>
      <c r="F1284" t="inlineStr">
        <is>
          <t>Litware Legal invoice 91664</t>
        </is>
      </c>
      <c r="G1284" t="inlineStr">
        <is>
          <t>1010</t>
        </is>
      </c>
      <c r="H1284" t="inlineStr">
        <is>
          <t>Northgate Checking 7742</t>
        </is>
      </c>
      <c r="I1284" t="inlineStr">
        <is>
          <t>Overhead</t>
        </is>
      </c>
      <c r="K1284">
        <f>2282.01</f>
        <v/>
      </c>
    </row>
    <row r="1285">
      <c r="A1285" t="inlineStr">
        <is>
          <t>Total for T-00272</t>
        </is>
      </c>
      <c r="J1285">
        <f>J1283</f>
        <v/>
      </c>
      <c r="K1285">
        <f>K1284</f>
        <v/>
      </c>
    </row>
    <row r="1286"/>
    <row r="1287">
      <c r="A1287" t="inlineStr">
        <is>
          <t>T-00239</t>
        </is>
      </c>
    </row>
    <row r="1288">
      <c r="B1288" t="inlineStr">
        <is>
          <t>06/12/2025</t>
        </is>
      </c>
      <c r="C1288" t="inlineStr">
        <is>
          <t>Bill Payment</t>
        </is>
      </c>
      <c r="D1288" t="inlineStr"/>
      <c r="E1288" t="inlineStr">
        <is>
          <t>Northwind Supply</t>
        </is>
      </c>
      <c r="F1288" t="inlineStr">
        <is>
          <t>Payment on NWS-4404</t>
        </is>
      </c>
      <c r="G1288" t="inlineStr">
        <is>
          <t>2010</t>
        </is>
      </c>
      <c r="H1288" t="inlineStr">
        <is>
          <t>Accounts Payable</t>
        </is>
      </c>
      <c r="I1288" t="inlineStr">
        <is>
          <t>Product</t>
        </is>
      </c>
      <c r="J1288">
        <f>11122.53</f>
        <v/>
      </c>
    </row>
    <row r="1289">
      <c r="B1289" t="inlineStr">
        <is>
          <t>06/12/2025</t>
        </is>
      </c>
      <c r="C1289" t="inlineStr">
        <is>
          <t>Bill Payment</t>
        </is>
      </c>
      <c r="D1289" t="inlineStr"/>
      <c r="E1289" t="inlineStr">
        <is>
          <t>Northwind Supply</t>
        </is>
      </c>
      <c r="F1289" t="inlineStr">
        <is>
          <t>Payment on NWS-4404</t>
        </is>
      </c>
      <c r="G1289" t="inlineStr">
        <is>
          <t>1010</t>
        </is>
      </c>
      <c r="H1289" t="inlineStr">
        <is>
          <t>Northgate Checking 7742</t>
        </is>
      </c>
      <c r="I1289" t="inlineStr">
        <is>
          <t>Product</t>
        </is>
      </c>
      <c r="K1289">
        <f>11122.53</f>
        <v/>
      </c>
    </row>
    <row r="1290">
      <c r="A1290" t="inlineStr">
        <is>
          <t>Total for T-00239</t>
        </is>
      </c>
      <c r="J1290">
        <f>J1288</f>
        <v/>
      </c>
      <c r="K1290">
        <f>K1289</f>
        <v/>
      </c>
    </row>
    <row r="1291"/>
    <row r="1292">
      <c r="A1292" t="inlineStr">
        <is>
          <t>T-00274</t>
        </is>
      </c>
    </row>
    <row r="1293">
      <c r="B1293" t="inlineStr">
        <is>
          <t>06/12/2025</t>
        </is>
      </c>
      <c r="C1293" t="inlineStr">
        <is>
          <t>Expense</t>
        </is>
      </c>
      <c r="D1293" t="inlineStr"/>
      <c r="E1293" t="inlineStr">
        <is>
          <t>Litware Legal</t>
        </is>
      </c>
      <c r="F1293" t="inlineStr">
        <is>
          <t>Litware Legal invoice 15758</t>
        </is>
      </c>
      <c r="G1293" t="inlineStr">
        <is>
          <t>6800</t>
        </is>
      </c>
      <c r="H1293" t="inlineStr">
        <is>
          <t>Professional Fees</t>
        </is>
      </c>
      <c r="I1293" t="inlineStr">
        <is>
          <t>Overhead</t>
        </is>
      </c>
      <c r="J1293">
        <f>2165.80</f>
        <v/>
      </c>
    </row>
    <row r="1294">
      <c r="B1294" t="inlineStr">
        <is>
          <t>06/12/2025</t>
        </is>
      </c>
      <c r="C1294" t="inlineStr">
        <is>
          <t>Expense</t>
        </is>
      </c>
      <c r="D1294" t="inlineStr"/>
      <c r="E1294" t="inlineStr">
        <is>
          <t>Litware Legal</t>
        </is>
      </c>
      <c r="F1294" t="inlineStr">
        <is>
          <t>Litware Legal invoice 15758</t>
        </is>
      </c>
      <c r="G1294" t="inlineStr">
        <is>
          <t>1010</t>
        </is>
      </c>
      <c r="H1294" t="inlineStr">
        <is>
          <t>Northgate Checking 7742</t>
        </is>
      </c>
      <c r="I1294" t="inlineStr">
        <is>
          <t>Overhead</t>
        </is>
      </c>
      <c r="K1294">
        <f>2165.80</f>
        <v/>
      </c>
    </row>
    <row r="1295">
      <c r="A1295" t="inlineStr">
        <is>
          <t>Total for T-00274</t>
        </is>
      </c>
      <c r="J1295">
        <f>J1293</f>
        <v/>
      </c>
      <c r="K1295">
        <f>K1294</f>
        <v/>
      </c>
    </row>
    <row r="1296"/>
    <row r="1297">
      <c r="A1297" t="inlineStr">
        <is>
          <t>T-00275</t>
        </is>
      </c>
    </row>
    <row r="1298">
      <c r="B1298" t="inlineStr">
        <is>
          <t>06/13/2025</t>
        </is>
      </c>
      <c r="C1298" t="inlineStr">
        <is>
          <t>Expense</t>
        </is>
      </c>
      <c r="D1298" t="inlineStr"/>
      <c r="E1298" t="inlineStr">
        <is>
          <t>Litware Legal</t>
        </is>
      </c>
      <c r="F1298" t="inlineStr">
        <is>
          <t>Litware Legal invoice 91439</t>
        </is>
      </c>
      <c r="G1298" t="inlineStr">
        <is>
          <t>6800</t>
        </is>
      </c>
      <c r="H1298" t="inlineStr">
        <is>
          <t>Professional Fees</t>
        </is>
      </c>
      <c r="I1298" t="inlineStr">
        <is>
          <t>Overhead</t>
        </is>
      </c>
      <c r="J1298">
        <f>2298.77</f>
        <v/>
      </c>
    </row>
    <row r="1299">
      <c r="B1299" t="inlineStr">
        <is>
          <t>06/13/2025</t>
        </is>
      </c>
      <c r="C1299" t="inlineStr">
        <is>
          <t>Expense</t>
        </is>
      </c>
      <c r="D1299" t="inlineStr"/>
      <c r="E1299" t="inlineStr">
        <is>
          <t>Litware Legal</t>
        </is>
      </c>
      <c r="F1299" t="inlineStr">
        <is>
          <t>Litware Legal invoice 91439</t>
        </is>
      </c>
      <c r="G1299" t="inlineStr">
        <is>
          <t>1010</t>
        </is>
      </c>
      <c r="H1299" t="inlineStr">
        <is>
          <t>Northgate Checking 7742</t>
        </is>
      </c>
      <c r="I1299" t="inlineStr">
        <is>
          <t>Overhead</t>
        </is>
      </c>
      <c r="K1299">
        <f>2298.77</f>
        <v/>
      </c>
    </row>
    <row r="1300">
      <c r="A1300" t="inlineStr">
        <is>
          <t>Total for T-00275</t>
        </is>
      </c>
      <c r="J1300">
        <f>J1298</f>
        <v/>
      </c>
      <c r="K1300">
        <f>K1299</f>
        <v/>
      </c>
    </row>
    <row r="1301"/>
    <row r="1302">
      <c r="A1302" t="inlineStr">
        <is>
          <t>T-00254</t>
        </is>
      </c>
    </row>
    <row r="1303">
      <c r="B1303" t="inlineStr">
        <is>
          <t>06/14/2025</t>
        </is>
      </c>
      <c r="C1303" t="inlineStr">
        <is>
          <t>Credit Card Charge</t>
        </is>
      </c>
      <c r="D1303" t="inlineStr"/>
      <c r="E1303" t="inlineStr">
        <is>
          <t>Contoso Cloud</t>
        </is>
      </c>
      <c r="F1303" t="inlineStr">
        <is>
          <t>Contoso Cloud 2025-06</t>
        </is>
      </c>
      <c r="G1303" t="inlineStr">
        <is>
          <t>6300</t>
        </is>
      </c>
      <c r="H1303" t="inlineStr">
        <is>
          <t>Cloud Hosting</t>
        </is>
      </c>
      <c r="I1303" t="inlineStr">
        <is>
          <t>Services</t>
        </is>
      </c>
      <c r="J1303">
        <f>386.24</f>
        <v/>
      </c>
    </row>
    <row r="1304">
      <c r="B1304" t="inlineStr">
        <is>
          <t>06/14/2025</t>
        </is>
      </c>
      <c r="C1304" t="inlineStr">
        <is>
          <t>Credit Card Charge</t>
        </is>
      </c>
      <c r="D1304" t="inlineStr"/>
      <c r="E1304" t="inlineStr">
        <is>
          <t>Contoso Cloud</t>
        </is>
      </c>
      <c r="F1304" t="inlineStr">
        <is>
          <t>Contoso Cloud 2025-06</t>
        </is>
      </c>
      <c r="H1304" t="inlineStr">
        <is>
          <t>Vantage Credit Card 3391</t>
        </is>
      </c>
      <c r="I1304" t="inlineStr">
        <is>
          <t>Services</t>
        </is>
      </c>
      <c r="K1304">
        <f>386.24</f>
        <v/>
      </c>
    </row>
    <row r="1305">
      <c r="A1305" t="inlineStr">
        <is>
          <t>Total for T-00254</t>
        </is>
      </c>
      <c r="J1305">
        <f>J1303</f>
        <v/>
      </c>
      <c r="K1305">
        <f>K1304</f>
        <v/>
      </c>
    </row>
    <row r="1306"/>
    <row r="1307">
      <c r="A1307" t="inlineStr">
        <is>
          <t>T-00241</t>
        </is>
      </c>
    </row>
    <row r="1308">
      <c r="B1308" t="inlineStr">
        <is>
          <t>06/15/2025</t>
        </is>
      </c>
      <c r="C1308" t="inlineStr">
        <is>
          <t>Expense</t>
        </is>
      </c>
      <c r="D1308" t="inlineStr"/>
      <c r="E1308" t="inlineStr">
        <is>
          <t>Proseware Payroll</t>
        </is>
      </c>
      <c r="F1308" t="inlineStr">
        <is>
          <t>Payroll 2025-06-15 gross wages</t>
        </is>
      </c>
      <c r="G1308" t="inlineStr">
        <is>
          <t>6000</t>
        </is>
      </c>
      <c r="H1308" t="inlineStr">
        <is>
          <t>Salaries and Wages</t>
        </is>
      </c>
      <c r="I1308" t="inlineStr">
        <is>
          <t>Overhead</t>
        </is>
      </c>
      <c r="J1308">
        <f>21250.00</f>
        <v/>
      </c>
    </row>
    <row r="1309">
      <c r="B1309" t="inlineStr">
        <is>
          <t>06/15/2025</t>
        </is>
      </c>
      <c r="C1309" t="inlineStr">
        <is>
          <t>Expense</t>
        </is>
      </c>
      <c r="D1309" t="inlineStr"/>
      <c r="E1309" t="inlineStr">
        <is>
          <t>Proseware Payroll</t>
        </is>
      </c>
      <c r="F1309" t="inlineStr">
        <is>
          <t>Payroll 2025-06-15 employer taxes</t>
        </is>
      </c>
      <c r="G1309" t="inlineStr">
        <is>
          <t>6010</t>
        </is>
      </c>
      <c r="H1309" t="inlineStr">
        <is>
          <t>Payroll Taxes</t>
        </is>
      </c>
      <c r="I1309" t="inlineStr">
        <is>
          <t>Overhead</t>
        </is>
      </c>
      <c r="J1309">
        <f>1625.62</f>
        <v/>
      </c>
    </row>
    <row r="1310">
      <c r="B1310" t="inlineStr">
        <is>
          <t>06/15/2025</t>
        </is>
      </c>
      <c r="C1310" t="inlineStr">
        <is>
          <t>Expense</t>
        </is>
      </c>
      <c r="D1310" t="inlineStr"/>
      <c r="E1310" t="inlineStr">
        <is>
          <t>Proseware Payroll</t>
        </is>
      </c>
      <c r="F1310" t="inlineStr">
        <is>
          <t>Proseware payroll debit 2025-06-15</t>
        </is>
      </c>
      <c r="G1310" t="inlineStr">
        <is>
          <t>1010</t>
        </is>
      </c>
      <c r="H1310" t="inlineStr">
        <is>
          <t>Northgate Checking 7742</t>
        </is>
      </c>
      <c r="I1310" t="inlineStr">
        <is>
          <t>Overhead</t>
        </is>
      </c>
      <c r="K1310">
        <f>22875.62</f>
        <v/>
      </c>
    </row>
    <row r="1311">
      <c r="A1311" t="inlineStr">
        <is>
          <t>Total for T-00241</t>
        </is>
      </c>
      <c r="J1311">
        <f>J1308+J1309</f>
        <v/>
      </c>
      <c r="K1311">
        <f>K1310</f>
        <v/>
      </c>
    </row>
    <row r="1312"/>
    <row r="1313">
      <c r="A1313" t="inlineStr">
        <is>
          <t>T-00243</t>
        </is>
      </c>
    </row>
    <row r="1314">
      <c r="B1314" t="inlineStr">
        <is>
          <t>06/15/2025</t>
        </is>
      </c>
      <c r="C1314" t="inlineStr">
        <is>
          <t>Deposit</t>
        </is>
      </c>
      <c r="D1314" t="inlineStr"/>
      <c r="E1314" t="inlineStr">
        <is>
          <t>Paylane</t>
        </is>
      </c>
      <c r="F1314" t="inlineStr">
        <is>
          <t>Paylane payout 2025-06 #1</t>
        </is>
      </c>
      <c r="G1314" t="inlineStr">
        <is>
          <t>1010</t>
        </is>
      </c>
      <c r="H1314" t="inlineStr">
        <is>
          <t>Northgate Checking 7742</t>
        </is>
      </c>
      <c r="I1314" t="inlineStr">
        <is>
          <t>Product</t>
        </is>
      </c>
      <c r="J1314">
        <f>16886.52</f>
        <v/>
      </c>
    </row>
    <row r="1315">
      <c r="B1315" t="inlineStr">
        <is>
          <t>06/15/2025</t>
        </is>
      </c>
      <c r="C1315" t="inlineStr">
        <is>
          <t>Deposit</t>
        </is>
      </c>
      <c r="D1315" t="inlineStr"/>
      <c r="E1315" t="inlineStr">
        <is>
          <t>Paylane</t>
        </is>
      </c>
      <c r="F1315" t="inlineStr">
        <is>
          <t>Paylane payout 2025-06 #1</t>
        </is>
      </c>
      <c r="G1315" t="inlineStr">
        <is>
          <t>1200</t>
        </is>
      </c>
      <c r="H1315" t="inlineStr">
        <is>
          <t>Paylane Clearing</t>
        </is>
      </c>
      <c r="I1315" t="inlineStr">
        <is>
          <t>Product</t>
        </is>
      </c>
      <c r="K1315">
        <f>16886.52</f>
        <v/>
      </c>
    </row>
    <row r="1316">
      <c r="A1316" t="inlineStr">
        <is>
          <t>Total for T-00243</t>
        </is>
      </c>
      <c r="J1316">
        <f>J1314</f>
        <v/>
      </c>
      <c r="K1316">
        <f>K1315</f>
        <v/>
      </c>
    </row>
    <row r="1317"/>
    <row r="1318">
      <c r="A1318" t="inlineStr">
        <is>
          <t>T-00257</t>
        </is>
      </c>
    </row>
    <row r="1319">
      <c r="B1319" t="inlineStr">
        <is>
          <t>06/15/2025</t>
        </is>
      </c>
      <c r="C1319" t="inlineStr">
        <is>
          <t>Expense</t>
        </is>
      </c>
      <c r="D1319" t="inlineStr"/>
      <c r="E1319" t="inlineStr">
        <is>
          <t>Redwood Prototyping</t>
        </is>
      </c>
      <c r="F1319" t="inlineStr">
        <is>
          <t>Redwood Prototyping invoice 17810</t>
        </is>
      </c>
      <c r="G1319" t="inlineStr">
        <is>
          <t>6100</t>
        </is>
      </c>
      <c r="H1319" t="inlineStr">
        <is>
          <t>Contract Engineering</t>
        </is>
      </c>
      <c r="I1319" t="inlineStr">
        <is>
          <t>Product</t>
        </is>
      </c>
      <c r="J1319">
        <f>1141.88</f>
        <v/>
      </c>
    </row>
    <row r="1320">
      <c r="B1320" t="inlineStr">
        <is>
          <t>06/15/2025</t>
        </is>
      </c>
      <c r="C1320" t="inlineStr">
        <is>
          <t>Expense</t>
        </is>
      </c>
      <c r="D1320" t="inlineStr"/>
      <c r="E1320" t="inlineStr">
        <is>
          <t>Redwood Prototyping</t>
        </is>
      </c>
      <c r="F1320" t="inlineStr">
        <is>
          <t>Redwood Prototyping invoice 17810</t>
        </is>
      </c>
      <c r="G1320" t="inlineStr">
        <is>
          <t>1010</t>
        </is>
      </c>
      <c r="H1320" t="inlineStr">
        <is>
          <t>Northgate Checking 7742</t>
        </is>
      </c>
      <c r="I1320" t="inlineStr">
        <is>
          <t>Product</t>
        </is>
      </c>
      <c r="K1320">
        <f>1141.88</f>
        <v/>
      </c>
    </row>
    <row r="1321">
      <c r="A1321" t="inlineStr">
        <is>
          <t>Total for T-00257</t>
        </is>
      </c>
      <c r="J1321">
        <f>J1319</f>
        <v/>
      </c>
      <c r="K1321">
        <f>K1320</f>
        <v/>
      </c>
    </row>
    <row r="1322"/>
    <row r="1323">
      <c r="A1323" t="inlineStr">
        <is>
          <t>T-00267</t>
        </is>
      </c>
    </row>
    <row r="1324">
      <c r="B1324" t="inlineStr">
        <is>
          <t>06/15/2025</t>
        </is>
      </c>
      <c r="C1324" t="inlineStr">
        <is>
          <t>Expense</t>
        </is>
      </c>
      <c r="D1324" t="inlineStr"/>
      <c r="E1324" t="inlineStr">
        <is>
          <t>Litware Legal</t>
        </is>
      </c>
      <c r="F1324" t="inlineStr">
        <is>
          <t>Litware Legal invoice 27303</t>
        </is>
      </c>
      <c r="G1324" t="inlineStr">
        <is>
          <t>6800</t>
        </is>
      </c>
      <c r="H1324" t="inlineStr">
        <is>
          <t>Professional Fees</t>
        </is>
      </c>
      <c r="I1324" t="inlineStr">
        <is>
          <t>Overhead</t>
        </is>
      </c>
      <c r="J1324">
        <f>2202.73</f>
        <v/>
      </c>
    </row>
    <row r="1325">
      <c r="B1325" t="inlineStr">
        <is>
          <t>06/15/2025</t>
        </is>
      </c>
      <c r="C1325" t="inlineStr">
        <is>
          <t>Expense</t>
        </is>
      </c>
      <c r="D1325" t="inlineStr"/>
      <c r="E1325" t="inlineStr">
        <is>
          <t>Litware Legal</t>
        </is>
      </c>
      <c r="F1325" t="inlineStr">
        <is>
          <t>Litware Legal invoice 27303</t>
        </is>
      </c>
      <c r="G1325" t="inlineStr">
        <is>
          <t>1010</t>
        </is>
      </c>
      <c r="H1325" t="inlineStr">
        <is>
          <t>Northgate Checking 7742</t>
        </is>
      </c>
      <c r="I1325" t="inlineStr">
        <is>
          <t>Overhead</t>
        </is>
      </c>
      <c r="K1325">
        <f>2202.73</f>
        <v/>
      </c>
    </row>
    <row r="1326">
      <c r="A1326" t="inlineStr">
        <is>
          <t>Total for T-00267</t>
        </is>
      </c>
      <c r="J1326">
        <f>J1324</f>
        <v/>
      </c>
      <c r="K1326">
        <f>K1325</f>
        <v/>
      </c>
    </row>
    <row r="1327"/>
    <row r="1328">
      <c r="A1328" t="inlineStr">
        <is>
          <t>T-00277</t>
        </is>
      </c>
    </row>
    <row r="1329">
      <c r="B1329" t="inlineStr">
        <is>
          <t>06/15/2025</t>
        </is>
      </c>
      <c r="C1329" t="inlineStr">
        <is>
          <t>Credit Card Charge</t>
        </is>
      </c>
      <c r="D1329" t="inlineStr"/>
      <c r="E1329" t="inlineStr">
        <is>
          <t>Metro Rideshare</t>
        </is>
      </c>
      <c r="F1329" t="inlineStr">
        <is>
          <t>Metro Rideshare 2025-06</t>
        </is>
      </c>
      <c r="G1329" t="inlineStr">
        <is>
          <t>6900</t>
        </is>
      </c>
      <c r="H1329" t="inlineStr">
        <is>
          <t>Travel and Meals</t>
        </is>
      </c>
      <c r="I1329" t="inlineStr">
        <is>
          <t>Overhead</t>
        </is>
      </c>
      <c r="J1329">
        <f>30.40</f>
        <v/>
      </c>
    </row>
    <row r="1330">
      <c r="B1330" t="inlineStr">
        <is>
          <t>06/15/2025</t>
        </is>
      </c>
      <c r="C1330" t="inlineStr">
        <is>
          <t>Credit Card Charge</t>
        </is>
      </c>
      <c r="D1330" t="inlineStr"/>
      <c r="E1330" t="inlineStr">
        <is>
          <t>Metro Rideshare</t>
        </is>
      </c>
      <c r="F1330" t="inlineStr">
        <is>
          <t>Metro Rideshare 2025-06</t>
        </is>
      </c>
      <c r="H1330" t="inlineStr">
        <is>
          <t>Vantage Credit Card 3391</t>
        </is>
      </c>
      <c r="I1330" t="inlineStr">
        <is>
          <t>Overhead</t>
        </is>
      </c>
      <c r="K1330">
        <f>30.40</f>
        <v/>
      </c>
    </row>
    <row r="1331">
      <c r="A1331" t="inlineStr">
        <is>
          <t>Total for T-00277</t>
        </is>
      </c>
      <c r="J1331">
        <f>J1329</f>
        <v/>
      </c>
      <c r="K1331">
        <f>K1330</f>
        <v/>
      </c>
    </row>
    <row r="1332"/>
    <row r="1333">
      <c r="A1333" t="inlineStr">
        <is>
          <t>T-00251</t>
        </is>
      </c>
    </row>
    <row r="1334">
      <c r="B1334" t="inlineStr">
        <is>
          <t>06/16/2025</t>
        </is>
      </c>
      <c r="C1334" t="inlineStr">
        <is>
          <t>Expense</t>
        </is>
      </c>
      <c r="D1334" t="inlineStr"/>
      <c r="E1334" t="inlineStr">
        <is>
          <t>Bluepeak Engineering</t>
        </is>
      </c>
      <c r="F1334" t="inlineStr">
        <is>
          <t>Bluepeak Engineering invoice 20213</t>
        </is>
      </c>
      <c r="G1334" t="inlineStr">
        <is>
          <t>6100</t>
        </is>
      </c>
      <c r="H1334" t="inlineStr">
        <is>
          <t>Contract Engineering</t>
        </is>
      </c>
      <c r="I1334" t="inlineStr">
        <is>
          <t>Product</t>
        </is>
      </c>
      <c r="J1334">
        <f>1680.32</f>
        <v/>
      </c>
    </row>
    <row r="1335">
      <c r="B1335" t="inlineStr">
        <is>
          <t>06/16/2025</t>
        </is>
      </c>
      <c r="C1335" t="inlineStr">
        <is>
          <t>Expense</t>
        </is>
      </c>
      <c r="D1335" t="inlineStr"/>
      <c r="E1335" t="inlineStr">
        <is>
          <t>Bluepeak Engineering</t>
        </is>
      </c>
      <c r="F1335" t="inlineStr">
        <is>
          <t>Bluepeak Engineering invoice 20213</t>
        </is>
      </c>
      <c r="G1335" t="inlineStr">
        <is>
          <t>1010</t>
        </is>
      </c>
      <c r="H1335" t="inlineStr">
        <is>
          <t>Northgate Checking 7742</t>
        </is>
      </c>
      <c r="I1335" t="inlineStr">
        <is>
          <t>Product</t>
        </is>
      </c>
      <c r="K1335">
        <f>1680.32</f>
        <v/>
      </c>
    </row>
    <row r="1336">
      <c r="A1336" t="inlineStr">
        <is>
          <t>Total for T-00251</t>
        </is>
      </c>
      <c r="J1336">
        <f>J1334</f>
        <v/>
      </c>
      <c r="K1336">
        <f>K1335</f>
        <v/>
      </c>
    </row>
    <row r="1337"/>
    <row r="1338">
      <c r="A1338" t="inlineStr">
        <is>
          <t>T-00261</t>
        </is>
      </c>
    </row>
    <row r="1339">
      <c r="B1339" t="inlineStr">
        <is>
          <t>06/16/2025</t>
        </is>
      </c>
      <c r="C1339" t="inlineStr">
        <is>
          <t>Credit Card Charge</t>
        </is>
      </c>
      <c r="D1339" t="inlineStr"/>
      <c r="E1339" t="inlineStr">
        <is>
          <t>Skyward Air</t>
        </is>
      </c>
      <c r="F1339" t="inlineStr">
        <is>
          <t>Skyward Air 2025-06</t>
        </is>
      </c>
      <c r="G1339" t="inlineStr">
        <is>
          <t>6900</t>
        </is>
      </c>
      <c r="H1339" t="inlineStr">
        <is>
          <t>Travel and Meals</t>
        </is>
      </c>
      <c r="I1339" t="inlineStr">
        <is>
          <t>Overhead</t>
        </is>
      </c>
      <c r="J1339">
        <f>207.47</f>
        <v/>
      </c>
    </row>
    <row r="1340">
      <c r="B1340" t="inlineStr">
        <is>
          <t>06/16/2025</t>
        </is>
      </c>
      <c r="C1340" t="inlineStr">
        <is>
          <t>Credit Card Charge</t>
        </is>
      </c>
      <c r="D1340" t="inlineStr"/>
      <c r="E1340" t="inlineStr">
        <is>
          <t>Skyward Air</t>
        </is>
      </c>
      <c r="F1340" t="inlineStr">
        <is>
          <t>Skyward Air 2025-06</t>
        </is>
      </c>
      <c r="H1340" t="inlineStr">
        <is>
          <t>Vantage Credit Card 3391</t>
        </is>
      </c>
      <c r="I1340" t="inlineStr">
        <is>
          <t>Overhead</t>
        </is>
      </c>
      <c r="K1340">
        <f>207.47</f>
        <v/>
      </c>
    </row>
    <row r="1341">
      <c r="A1341" t="inlineStr">
        <is>
          <t>Total for T-00261</t>
        </is>
      </c>
      <c r="J1341">
        <f>J1339</f>
        <v/>
      </c>
      <c r="K1341">
        <f>K1340</f>
        <v/>
      </c>
    </row>
    <row r="1342"/>
    <row r="1343">
      <c r="A1343" t="inlineStr">
        <is>
          <t>T-00246</t>
        </is>
      </c>
    </row>
    <row r="1344">
      <c r="B1344" t="inlineStr">
        <is>
          <t>06/18/2025</t>
        </is>
      </c>
      <c r="C1344" t="inlineStr">
        <is>
          <t>Expense</t>
        </is>
      </c>
      <c r="D1344" t="inlineStr"/>
      <c r="E1344" t="inlineStr">
        <is>
          <t>Trey Research</t>
        </is>
      </c>
      <c r="F1344" t="inlineStr">
        <is>
          <t>Trey Research monthly engagement</t>
        </is>
      </c>
      <c r="G1344" t="inlineStr">
        <is>
          <t>6800</t>
        </is>
      </c>
      <c r="H1344" t="inlineStr">
        <is>
          <t>Professional Fees</t>
        </is>
      </c>
      <c r="I1344" t="inlineStr">
        <is>
          <t>Overhead</t>
        </is>
      </c>
      <c r="J1344">
        <f>5969.02</f>
        <v/>
      </c>
    </row>
    <row r="1345">
      <c r="B1345" t="inlineStr">
        <is>
          <t>06/18/2025</t>
        </is>
      </c>
      <c r="C1345" t="inlineStr">
        <is>
          <t>Expense</t>
        </is>
      </c>
      <c r="D1345" t="inlineStr"/>
      <c r="E1345" t="inlineStr">
        <is>
          <t>Trey Research</t>
        </is>
      </c>
      <c r="F1345" t="inlineStr">
        <is>
          <t>Trey Research monthly engagement</t>
        </is>
      </c>
      <c r="G1345" t="inlineStr">
        <is>
          <t>1010</t>
        </is>
      </c>
      <c r="H1345" t="inlineStr">
        <is>
          <t>Northgate Checking 7742</t>
        </is>
      </c>
      <c r="I1345" t="inlineStr">
        <is>
          <t>Overhead</t>
        </is>
      </c>
      <c r="K1345">
        <f>5969.02</f>
        <v/>
      </c>
    </row>
    <row r="1346">
      <c r="A1346" t="inlineStr">
        <is>
          <t>Total for T-00246</t>
        </is>
      </c>
      <c r="J1346">
        <f>J1344</f>
        <v/>
      </c>
      <c r="K1346">
        <f>K1345</f>
        <v/>
      </c>
    </row>
    <row r="1347"/>
    <row r="1348">
      <c r="A1348" t="inlineStr">
        <is>
          <t>T-00266</t>
        </is>
      </c>
    </row>
    <row r="1349">
      <c r="B1349" t="inlineStr">
        <is>
          <t>06/19/2025</t>
        </is>
      </c>
      <c r="C1349" t="inlineStr">
        <is>
          <t>Expense</t>
        </is>
      </c>
      <c r="D1349" t="inlineStr"/>
      <c r="E1349" t="inlineStr">
        <is>
          <t>Bluepeak Engineering</t>
        </is>
      </c>
      <c r="F1349" t="inlineStr">
        <is>
          <t>Bluepeak Engineering invoice 79608</t>
        </is>
      </c>
      <c r="G1349" t="inlineStr">
        <is>
          <t>6100</t>
        </is>
      </c>
      <c r="H1349" t="inlineStr">
        <is>
          <t>Contract Engineering</t>
        </is>
      </c>
      <c r="I1349" t="inlineStr">
        <is>
          <t>Product</t>
        </is>
      </c>
      <c r="J1349">
        <f>1167.96</f>
        <v/>
      </c>
    </row>
    <row r="1350">
      <c r="B1350" t="inlineStr">
        <is>
          <t>06/19/2025</t>
        </is>
      </c>
      <c r="C1350" t="inlineStr">
        <is>
          <t>Expense</t>
        </is>
      </c>
      <c r="D1350" t="inlineStr"/>
      <c r="E1350" t="inlineStr">
        <is>
          <t>Bluepeak Engineering</t>
        </is>
      </c>
      <c r="F1350" t="inlineStr">
        <is>
          <t>Bluepeak Engineering invoice 79608</t>
        </is>
      </c>
      <c r="G1350" t="inlineStr">
        <is>
          <t>1010</t>
        </is>
      </c>
      <c r="H1350" t="inlineStr">
        <is>
          <t>Northgate Checking 7742</t>
        </is>
      </c>
      <c r="I1350" t="inlineStr">
        <is>
          <t>Product</t>
        </is>
      </c>
      <c r="K1350">
        <f>1167.96</f>
        <v/>
      </c>
    </row>
    <row r="1351">
      <c r="A1351" t="inlineStr">
        <is>
          <t>Total for T-00266</t>
        </is>
      </c>
      <c r="J1351">
        <f>J1349</f>
        <v/>
      </c>
      <c r="K1351">
        <f>K1350</f>
        <v/>
      </c>
    </row>
    <row r="1352"/>
    <row r="1353">
      <c r="A1353" t="inlineStr">
        <is>
          <t>T-00270</t>
        </is>
      </c>
    </row>
    <row r="1354">
      <c r="B1354" t="inlineStr">
        <is>
          <t>06/19/2025</t>
        </is>
      </c>
      <c r="C1354" t="inlineStr">
        <is>
          <t>Expense</t>
        </is>
      </c>
      <c r="D1354" t="inlineStr"/>
      <c r="E1354" t="inlineStr">
        <is>
          <t>Redwood Prototyping</t>
        </is>
      </c>
      <c r="F1354" t="inlineStr">
        <is>
          <t>Redwood Prototyping invoice 54020</t>
        </is>
      </c>
      <c r="G1354" t="inlineStr">
        <is>
          <t>6100</t>
        </is>
      </c>
      <c r="H1354" t="inlineStr">
        <is>
          <t>Contract Engineering</t>
        </is>
      </c>
      <c r="I1354" t="inlineStr">
        <is>
          <t>Product</t>
        </is>
      </c>
      <c r="J1354">
        <f>1259.01</f>
        <v/>
      </c>
    </row>
    <row r="1355">
      <c r="B1355" t="inlineStr">
        <is>
          <t>06/19/2025</t>
        </is>
      </c>
      <c r="C1355" t="inlineStr">
        <is>
          <t>Expense</t>
        </is>
      </c>
      <c r="D1355" t="inlineStr"/>
      <c r="E1355" t="inlineStr">
        <is>
          <t>Redwood Prototyping</t>
        </is>
      </c>
      <c r="F1355" t="inlineStr">
        <is>
          <t>Redwood Prototyping invoice 54020</t>
        </is>
      </c>
      <c r="G1355" t="inlineStr">
        <is>
          <t>1010</t>
        </is>
      </c>
      <c r="H1355" t="inlineStr">
        <is>
          <t>Northgate Checking 7742</t>
        </is>
      </c>
      <c r="I1355" t="inlineStr">
        <is>
          <t>Product</t>
        </is>
      </c>
      <c r="K1355">
        <f>1259.01</f>
        <v/>
      </c>
    </row>
    <row r="1356">
      <c r="A1356" t="inlineStr">
        <is>
          <t>Total for T-00270</t>
        </is>
      </c>
      <c r="J1356">
        <f>J1354</f>
        <v/>
      </c>
      <c r="K1356">
        <f>K1355</f>
        <v/>
      </c>
    </row>
    <row r="1357"/>
    <row r="1358">
      <c r="A1358" t="inlineStr">
        <is>
          <t>T-00240</t>
        </is>
      </c>
    </row>
    <row r="1359">
      <c r="B1359" t="inlineStr">
        <is>
          <t>06/20/2025</t>
        </is>
      </c>
      <c r="C1359" t="inlineStr">
        <is>
          <t>Bill</t>
        </is>
      </c>
      <c r="D1359" t="inlineStr">
        <is>
          <t>NWS-4405</t>
        </is>
      </c>
      <c r="E1359" t="inlineStr">
        <is>
          <t>Northwind Supply</t>
        </is>
      </c>
      <c r="F1359" t="inlineStr">
        <is>
          <t>NWS-4405 components</t>
        </is>
      </c>
      <c r="G1359" t="inlineStr">
        <is>
          <t>5000</t>
        </is>
      </c>
      <c r="H1359" t="inlineStr">
        <is>
          <t>Cost of Goods Sold - Components</t>
        </is>
      </c>
      <c r="I1359" t="inlineStr">
        <is>
          <t>Product</t>
        </is>
      </c>
      <c r="J1359">
        <f>12296.55</f>
        <v/>
      </c>
    </row>
    <row r="1360">
      <c r="B1360" t="inlineStr">
        <is>
          <t>06/20/2025</t>
        </is>
      </c>
      <c r="C1360" t="inlineStr">
        <is>
          <t>Bill</t>
        </is>
      </c>
      <c r="D1360" t="inlineStr">
        <is>
          <t>NWS-4405</t>
        </is>
      </c>
      <c r="E1360" t="inlineStr">
        <is>
          <t>Northwind Supply</t>
        </is>
      </c>
      <c r="F1360" t="inlineStr">
        <is>
          <t>NWS-4405 components</t>
        </is>
      </c>
      <c r="G1360" t="inlineStr">
        <is>
          <t>2010</t>
        </is>
      </c>
      <c r="H1360" t="inlineStr">
        <is>
          <t>Accounts Payable</t>
        </is>
      </c>
      <c r="I1360" t="inlineStr">
        <is>
          <t>Product</t>
        </is>
      </c>
      <c r="K1360">
        <f>12296.55</f>
        <v/>
      </c>
    </row>
    <row r="1361">
      <c r="A1361" t="inlineStr">
        <is>
          <t>Total for T-00240</t>
        </is>
      </c>
      <c r="J1361">
        <f>J1359</f>
        <v/>
      </c>
      <c r="K1361">
        <f>K1360</f>
        <v/>
      </c>
    </row>
    <row r="1362"/>
    <row r="1363">
      <c r="A1363" t="inlineStr">
        <is>
          <t>T-00252</t>
        </is>
      </c>
    </row>
    <row r="1364">
      <c r="B1364" t="inlineStr">
        <is>
          <t>06/20/2025</t>
        </is>
      </c>
      <c r="C1364" t="inlineStr">
        <is>
          <t>Expense</t>
        </is>
      </c>
      <c r="D1364" t="inlineStr"/>
      <c r="E1364" t="inlineStr">
        <is>
          <t>Quartz CAD Services</t>
        </is>
      </c>
      <c r="F1364" t="inlineStr">
        <is>
          <t>Quartz CAD Services invoice 19399</t>
        </is>
      </c>
      <c r="G1364" t="inlineStr">
        <is>
          <t>6100</t>
        </is>
      </c>
      <c r="H1364" t="inlineStr">
        <is>
          <t>Contract Engineering</t>
        </is>
      </c>
      <c r="I1364" t="inlineStr">
        <is>
          <t>Product</t>
        </is>
      </c>
      <c r="J1364">
        <f>413.03</f>
        <v/>
      </c>
    </row>
    <row r="1365">
      <c r="B1365" t="inlineStr">
        <is>
          <t>06/20/2025</t>
        </is>
      </c>
      <c r="C1365" t="inlineStr">
        <is>
          <t>Expense</t>
        </is>
      </c>
      <c r="D1365" t="inlineStr"/>
      <c r="E1365" t="inlineStr">
        <is>
          <t>Quartz CAD Services</t>
        </is>
      </c>
      <c r="F1365" t="inlineStr">
        <is>
          <t>Quartz CAD Services invoice 19399</t>
        </is>
      </c>
      <c r="G1365" t="inlineStr">
        <is>
          <t>1010</t>
        </is>
      </c>
      <c r="H1365" t="inlineStr">
        <is>
          <t>Northgate Checking 7742</t>
        </is>
      </c>
      <c r="I1365" t="inlineStr">
        <is>
          <t>Product</t>
        </is>
      </c>
      <c r="K1365">
        <f>413.03</f>
        <v/>
      </c>
    </row>
    <row r="1366">
      <c r="A1366" t="inlineStr">
        <is>
          <t>Total for T-00252</t>
        </is>
      </c>
      <c r="J1366">
        <f>J1364</f>
        <v/>
      </c>
      <c r="K1366">
        <f>K1365</f>
        <v/>
      </c>
    </row>
    <row r="1367"/>
    <row r="1368">
      <c r="A1368" t="inlineStr">
        <is>
          <t>T-00248</t>
        </is>
      </c>
    </row>
    <row r="1369">
      <c r="B1369" t="inlineStr">
        <is>
          <t>06/21/2025</t>
        </is>
      </c>
      <c r="C1369" t="inlineStr">
        <is>
          <t>Credit Card Charge</t>
        </is>
      </c>
      <c r="D1369" t="inlineStr"/>
      <c r="E1369" t="inlineStr">
        <is>
          <t>Lumina Ads</t>
        </is>
      </c>
      <c r="F1369" t="inlineStr">
        <is>
          <t>Lumina Ads 2025-06</t>
        </is>
      </c>
      <c r="G1369" t="inlineStr">
        <is>
          <t>6600</t>
        </is>
      </c>
      <c r="H1369" t="inlineStr">
        <is>
          <t>Marketing and Advertising</t>
        </is>
      </c>
      <c r="I1369" t="inlineStr">
        <is>
          <t>Overhead</t>
        </is>
      </c>
      <c r="J1369">
        <f>1081.70</f>
        <v/>
      </c>
    </row>
    <row r="1370">
      <c r="B1370" t="inlineStr">
        <is>
          <t>06/21/2025</t>
        </is>
      </c>
      <c r="C1370" t="inlineStr">
        <is>
          <t>Credit Card Charge</t>
        </is>
      </c>
      <c r="D1370" t="inlineStr"/>
      <c r="E1370" t="inlineStr">
        <is>
          <t>Lumina Ads</t>
        </is>
      </c>
      <c r="F1370" t="inlineStr">
        <is>
          <t>Lumina Ads 2025-06</t>
        </is>
      </c>
      <c r="H1370" t="inlineStr">
        <is>
          <t>Vantage Credit Card 3391</t>
        </is>
      </c>
      <c r="I1370" t="inlineStr">
        <is>
          <t>Overhead</t>
        </is>
      </c>
      <c r="K1370">
        <f>1081.70</f>
        <v/>
      </c>
    </row>
    <row r="1371">
      <c r="A1371" t="inlineStr">
        <is>
          <t>Total for T-00248</t>
        </is>
      </c>
      <c r="J1371">
        <f>J1369</f>
        <v/>
      </c>
      <c r="K1371">
        <f>K1370</f>
        <v/>
      </c>
    </row>
    <row r="1372"/>
    <row r="1373">
      <c r="A1373" t="inlineStr">
        <is>
          <t>T-00262</t>
        </is>
      </c>
    </row>
    <row r="1374">
      <c r="B1374" t="inlineStr">
        <is>
          <t>06/21/2025</t>
        </is>
      </c>
      <c r="C1374" t="inlineStr">
        <is>
          <t>Credit Card Charge</t>
        </is>
      </c>
      <c r="D1374" t="inlineStr"/>
      <c r="E1374" t="inlineStr">
        <is>
          <t>Lumina Ads</t>
        </is>
      </c>
      <c r="F1374" t="inlineStr">
        <is>
          <t>Lumina Ads 2025-06</t>
        </is>
      </c>
      <c r="G1374" t="inlineStr">
        <is>
          <t>6600</t>
        </is>
      </c>
      <c r="H1374" t="inlineStr">
        <is>
          <t>Marketing and Advertising</t>
        </is>
      </c>
      <c r="I1374" t="inlineStr">
        <is>
          <t>Overhead</t>
        </is>
      </c>
      <c r="J1374">
        <f>1383.27</f>
        <v/>
      </c>
    </row>
    <row r="1375">
      <c r="B1375" t="inlineStr">
        <is>
          <t>06/21/2025</t>
        </is>
      </c>
      <c r="C1375" t="inlineStr">
        <is>
          <t>Credit Card Charge</t>
        </is>
      </c>
      <c r="D1375" t="inlineStr"/>
      <c r="E1375" t="inlineStr">
        <is>
          <t>Lumina Ads</t>
        </is>
      </c>
      <c r="F1375" t="inlineStr">
        <is>
          <t>Lumina Ads 2025-06</t>
        </is>
      </c>
      <c r="H1375" t="inlineStr">
        <is>
          <t>Vantage Credit Card 3391</t>
        </is>
      </c>
      <c r="I1375" t="inlineStr">
        <is>
          <t>Overhead</t>
        </is>
      </c>
      <c r="K1375">
        <f>1383.27</f>
        <v/>
      </c>
    </row>
    <row r="1376">
      <c r="A1376" t="inlineStr">
        <is>
          <t>Total for T-00262</t>
        </is>
      </c>
      <c r="J1376">
        <f>J1374</f>
        <v/>
      </c>
      <c r="K1376">
        <f>K1375</f>
        <v/>
      </c>
    </row>
    <row r="1377"/>
    <row r="1378">
      <c r="A1378" t="inlineStr">
        <is>
          <t>T-00232</t>
        </is>
      </c>
    </row>
    <row r="1379">
      <c r="B1379" t="inlineStr">
        <is>
          <t>06/22/2025</t>
        </is>
      </c>
      <c r="C1379" t="inlineStr">
        <is>
          <t>Credit Card Charge</t>
        </is>
      </c>
      <c r="D1379" t="inlineStr"/>
      <c r="E1379" t="inlineStr">
        <is>
          <t>Fabrikam Freight</t>
        </is>
      </c>
      <c r="F1379" t="inlineStr">
        <is>
          <t>Outbound freight 2025-06</t>
        </is>
      </c>
      <c r="G1379" t="inlineStr">
        <is>
          <t>5100</t>
        </is>
      </c>
      <c r="H1379" t="inlineStr">
        <is>
          <t>Shipping and Freight</t>
        </is>
      </c>
      <c r="I1379" t="inlineStr">
        <is>
          <t>Product</t>
        </is>
      </c>
      <c r="J1379">
        <f>1880.07</f>
        <v/>
      </c>
    </row>
    <row r="1380">
      <c r="B1380" t="inlineStr">
        <is>
          <t>06/22/2025</t>
        </is>
      </c>
      <c r="C1380" t="inlineStr">
        <is>
          <t>Credit Card Charge</t>
        </is>
      </c>
      <c r="D1380" t="inlineStr"/>
      <c r="E1380" t="inlineStr">
        <is>
          <t>Fabrikam Freight</t>
        </is>
      </c>
      <c r="F1380" t="inlineStr">
        <is>
          <t>Outbound freight 2025-06</t>
        </is>
      </c>
      <c r="H1380" t="inlineStr">
        <is>
          <t>Vantage Credit Card 3391</t>
        </is>
      </c>
      <c r="I1380" t="inlineStr">
        <is>
          <t>Product</t>
        </is>
      </c>
      <c r="K1380">
        <f>1880.07</f>
        <v/>
      </c>
    </row>
    <row r="1381">
      <c r="A1381" t="inlineStr">
        <is>
          <t>Total for T-00232</t>
        </is>
      </c>
      <c r="J1381">
        <f>J1379</f>
        <v/>
      </c>
      <c r="K1381">
        <f>K1380</f>
        <v/>
      </c>
    </row>
    <row r="1382"/>
    <row r="1383">
      <c r="A1383" t="inlineStr">
        <is>
          <t>T-00265</t>
        </is>
      </c>
    </row>
    <row r="1384">
      <c r="B1384" t="inlineStr">
        <is>
          <t>06/22/2025</t>
        </is>
      </c>
      <c r="C1384" t="inlineStr">
        <is>
          <t>Expense</t>
        </is>
      </c>
      <c r="D1384" t="inlineStr"/>
      <c r="E1384" t="inlineStr">
        <is>
          <t>Redwood Prototyping</t>
        </is>
      </c>
      <c r="F1384" t="inlineStr">
        <is>
          <t>Redwood Prototyping invoice 49493</t>
        </is>
      </c>
      <c r="G1384" t="inlineStr">
        <is>
          <t>6100</t>
        </is>
      </c>
      <c r="H1384" t="inlineStr">
        <is>
          <t>Contract Engineering</t>
        </is>
      </c>
      <c r="I1384" t="inlineStr">
        <is>
          <t>Product</t>
        </is>
      </c>
      <c r="J1384">
        <f>681.45</f>
        <v/>
      </c>
    </row>
    <row r="1385">
      <c r="B1385" t="inlineStr">
        <is>
          <t>06/22/2025</t>
        </is>
      </c>
      <c r="C1385" t="inlineStr">
        <is>
          <t>Expense</t>
        </is>
      </c>
      <c r="D1385" t="inlineStr"/>
      <c r="E1385" t="inlineStr">
        <is>
          <t>Redwood Prototyping</t>
        </is>
      </c>
      <c r="F1385" t="inlineStr">
        <is>
          <t>Redwood Prototyping invoice 49493</t>
        </is>
      </c>
      <c r="G1385" t="inlineStr">
        <is>
          <t>1010</t>
        </is>
      </c>
      <c r="H1385" t="inlineStr">
        <is>
          <t>Northgate Checking 7742</t>
        </is>
      </c>
      <c r="I1385" t="inlineStr">
        <is>
          <t>Product</t>
        </is>
      </c>
      <c r="K1385">
        <f>681.45</f>
        <v/>
      </c>
    </row>
    <row r="1386">
      <c r="A1386" t="inlineStr">
        <is>
          <t>Total for T-00265</t>
        </is>
      </c>
      <c r="J1386">
        <f>J1384</f>
        <v/>
      </c>
      <c r="K1386">
        <f>K1385</f>
        <v/>
      </c>
    </row>
    <row r="1387"/>
    <row r="1388">
      <c r="A1388" t="inlineStr">
        <is>
          <t>T-00271</t>
        </is>
      </c>
    </row>
    <row r="1389">
      <c r="B1389" t="inlineStr">
        <is>
          <t>06/24/2025</t>
        </is>
      </c>
      <c r="C1389" t="inlineStr">
        <is>
          <t>Expense</t>
        </is>
      </c>
      <c r="D1389" t="inlineStr"/>
      <c r="E1389" t="inlineStr">
        <is>
          <t>Fabrikam Freight</t>
        </is>
      </c>
      <c r="F1389" t="inlineStr">
        <is>
          <t>Fabrikam Freight invoice 80293</t>
        </is>
      </c>
      <c r="G1389" t="inlineStr">
        <is>
          <t>5100</t>
        </is>
      </c>
      <c r="H1389" t="inlineStr">
        <is>
          <t>Shipping and Freight</t>
        </is>
      </c>
      <c r="I1389" t="inlineStr">
        <is>
          <t>Product</t>
        </is>
      </c>
      <c r="J1389">
        <f>458.77</f>
        <v/>
      </c>
    </row>
    <row r="1390">
      <c r="B1390" t="inlineStr">
        <is>
          <t>06/24/2025</t>
        </is>
      </c>
      <c r="C1390" t="inlineStr">
        <is>
          <t>Expense</t>
        </is>
      </c>
      <c r="D1390" t="inlineStr"/>
      <c r="E1390" t="inlineStr">
        <is>
          <t>Fabrikam Freight</t>
        </is>
      </c>
      <c r="F1390" t="inlineStr">
        <is>
          <t>Fabrikam Freight invoice 80293</t>
        </is>
      </c>
      <c r="G1390" t="inlineStr">
        <is>
          <t>1010</t>
        </is>
      </c>
      <c r="H1390" t="inlineStr">
        <is>
          <t>Northgate Checking 7742</t>
        </is>
      </c>
      <c r="I1390" t="inlineStr">
        <is>
          <t>Product</t>
        </is>
      </c>
      <c r="K1390">
        <f>458.77</f>
        <v/>
      </c>
    </row>
    <row r="1391">
      <c r="A1391" t="inlineStr">
        <is>
          <t>Total for T-00271</t>
        </is>
      </c>
      <c r="J1391">
        <f>J1389</f>
        <v/>
      </c>
      <c r="K1391">
        <f>K1390</f>
        <v/>
      </c>
    </row>
    <row r="1392"/>
    <row r="1393">
      <c r="A1393" t="inlineStr">
        <is>
          <t>T-00268</t>
        </is>
      </c>
    </row>
    <row r="1394">
      <c r="B1394" t="inlineStr">
        <is>
          <t>06/25/2025</t>
        </is>
      </c>
      <c r="C1394" t="inlineStr">
        <is>
          <t>Credit Card Charge</t>
        </is>
      </c>
      <c r="D1394" t="inlineStr"/>
      <c r="E1394" t="inlineStr">
        <is>
          <t>Harbor Diner</t>
        </is>
      </c>
      <c r="F1394" t="inlineStr">
        <is>
          <t>Harbor Diner 2025-06</t>
        </is>
      </c>
      <c r="G1394" t="inlineStr">
        <is>
          <t>6900</t>
        </is>
      </c>
      <c r="H1394" t="inlineStr">
        <is>
          <t>Travel and Meals</t>
        </is>
      </c>
      <c r="I1394" t="inlineStr">
        <is>
          <t>Overhead</t>
        </is>
      </c>
      <c r="J1394">
        <f>139.50</f>
        <v/>
      </c>
    </row>
    <row r="1395">
      <c r="B1395" t="inlineStr">
        <is>
          <t>06/25/2025</t>
        </is>
      </c>
      <c r="C1395" t="inlineStr">
        <is>
          <t>Credit Card Charge</t>
        </is>
      </c>
      <c r="D1395" t="inlineStr"/>
      <c r="E1395" t="inlineStr">
        <is>
          <t>Harbor Diner</t>
        </is>
      </c>
      <c r="F1395" t="inlineStr">
        <is>
          <t>Harbor Diner 2025-06</t>
        </is>
      </c>
      <c r="H1395" t="inlineStr">
        <is>
          <t>Vantage Credit Card 3391</t>
        </is>
      </c>
      <c r="I1395" t="inlineStr">
        <is>
          <t>Overhead</t>
        </is>
      </c>
      <c r="K1395">
        <f>139.50</f>
        <v/>
      </c>
    </row>
    <row r="1396">
      <c r="A1396" t="inlineStr">
        <is>
          <t>Total for T-00268</t>
        </is>
      </c>
      <c r="J1396">
        <f>J1394</f>
        <v/>
      </c>
      <c r="K1396">
        <f>K1395</f>
        <v/>
      </c>
    </row>
    <row r="1397"/>
    <row r="1398">
      <c r="A1398" t="inlineStr">
        <is>
          <t>T-00259</t>
        </is>
      </c>
    </row>
    <row r="1399">
      <c r="B1399" t="inlineStr">
        <is>
          <t>06/26/2025</t>
        </is>
      </c>
      <c r="C1399" t="inlineStr">
        <is>
          <t>Credit Card Charge</t>
        </is>
      </c>
      <c r="D1399" t="inlineStr"/>
      <c r="E1399" t="inlineStr">
        <is>
          <t>Tailspin Tools</t>
        </is>
      </c>
      <c r="F1399" t="inlineStr">
        <is>
          <t>Tailspin Tools 2025-06</t>
        </is>
      </c>
      <c r="G1399" t="inlineStr">
        <is>
          <t>6200</t>
        </is>
      </c>
      <c r="H1399" t="inlineStr">
        <is>
          <t>Software Subscriptions</t>
        </is>
      </c>
      <c r="I1399" t="inlineStr">
        <is>
          <t>Overhead</t>
        </is>
      </c>
      <c r="J1399">
        <f>194.76</f>
        <v/>
      </c>
    </row>
    <row r="1400">
      <c r="B1400" t="inlineStr">
        <is>
          <t>06/26/2025</t>
        </is>
      </c>
      <c r="C1400" t="inlineStr">
        <is>
          <t>Credit Card Charge</t>
        </is>
      </c>
      <c r="D1400" t="inlineStr"/>
      <c r="E1400" t="inlineStr">
        <is>
          <t>Tailspin Tools</t>
        </is>
      </c>
      <c r="F1400" t="inlineStr">
        <is>
          <t>Tailspin Tools 2025-06</t>
        </is>
      </c>
      <c r="H1400" t="inlineStr">
        <is>
          <t>Vantage Credit Card 3391</t>
        </is>
      </c>
      <c r="I1400" t="inlineStr">
        <is>
          <t>Overhead</t>
        </is>
      </c>
      <c r="K1400">
        <f>194.76</f>
        <v/>
      </c>
    </row>
    <row r="1401">
      <c r="A1401" t="inlineStr">
        <is>
          <t>Total for T-00259</t>
        </is>
      </c>
      <c r="J1401">
        <f>J1399</f>
        <v/>
      </c>
      <c r="K1401">
        <f>K1400</f>
        <v/>
      </c>
    </row>
    <row r="1402"/>
    <row r="1403">
      <c r="A1403" t="inlineStr">
        <is>
          <t>T-00263</t>
        </is>
      </c>
    </row>
    <row r="1404">
      <c r="B1404" t="inlineStr">
        <is>
          <t>06/26/2025</t>
        </is>
      </c>
      <c r="C1404" t="inlineStr">
        <is>
          <t>Expense</t>
        </is>
      </c>
      <c r="D1404" t="inlineStr"/>
      <c r="E1404" t="inlineStr">
        <is>
          <t>Litware Legal</t>
        </is>
      </c>
      <c r="F1404" t="inlineStr">
        <is>
          <t>Litware Legal invoice 81516</t>
        </is>
      </c>
      <c r="G1404" t="inlineStr">
        <is>
          <t>6800</t>
        </is>
      </c>
      <c r="H1404" t="inlineStr">
        <is>
          <t>Professional Fees</t>
        </is>
      </c>
      <c r="I1404" t="inlineStr">
        <is>
          <t>Overhead</t>
        </is>
      </c>
      <c r="J1404">
        <f>577.43</f>
        <v/>
      </c>
    </row>
    <row r="1405">
      <c r="B1405" t="inlineStr">
        <is>
          <t>06/26/2025</t>
        </is>
      </c>
      <c r="C1405" t="inlineStr">
        <is>
          <t>Expense</t>
        </is>
      </c>
      <c r="D1405" t="inlineStr"/>
      <c r="E1405" t="inlineStr">
        <is>
          <t>Litware Legal</t>
        </is>
      </c>
      <c r="F1405" t="inlineStr">
        <is>
          <t>Litware Legal invoice 81516</t>
        </is>
      </c>
      <c r="G1405" t="inlineStr">
        <is>
          <t>1010</t>
        </is>
      </c>
      <c r="H1405" t="inlineStr">
        <is>
          <t>Northgate Checking 7742</t>
        </is>
      </c>
      <c r="I1405" t="inlineStr">
        <is>
          <t>Overhead</t>
        </is>
      </c>
      <c r="K1405">
        <f>577.43</f>
        <v/>
      </c>
    </row>
    <row r="1406">
      <c r="A1406" t="inlineStr">
        <is>
          <t>Total for T-00263</t>
        </is>
      </c>
      <c r="J1406">
        <f>J1404</f>
        <v/>
      </c>
      <c r="K1406">
        <f>K1405</f>
        <v/>
      </c>
    </row>
    <row r="1407"/>
    <row r="1408">
      <c r="A1408" t="inlineStr">
        <is>
          <t>T-00242</t>
        </is>
      </c>
    </row>
    <row r="1409">
      <c r="B1409" t="inlineStr">
        <is>
          <t>06/30/2025</t>
        </is>
      </c>
      <c r="C1409" t="inlineStr">
        <is>
          <t>Expense</t>
        </is>
      </c>
      <c r="D1409" t="inlineStr"/>
      <c r="E1409" t="inlineStr">
        <is>
          <t>Proseware Payroll</t>
        </is>
      </c>
      <c r="F1409" t="inlineStr">
        <is>
          <t>Payroll 2025-06-30 gross wages</t>
        </is>
      </c>
      <c r="G1409" t="inlineStr">
        <is>
          <t>6000</t>
        </is>
      </c>
      <c r="H1409" t="inlineStr">
        <is>
          <t>Salaries and Wages</t>
        </is>
      </c>
      <c r="I1409" t="inlineStr">
        <is>
          <t>Overhead</t>
        </is>
      </c>
      <c r="J1409">
        <f>21250.00</f>
        <v/>
      </c>
    </row>
    <row r="1410">
      <c r="B1410" t="inlineStr">
        <is>
          <t>06/30/2025</t>
        </is>
      </c>
      <c r="C1410" t="inlineStr">
        <is>
          <t>Expense</t>
        </is>
      </c>
      <c r="D1410" t="inlineStr"/>
      <c r="E1410" t="inlineStr">
        <is>
          <t>Proseware Payroll</t>
        </is>
      </c>
      <c r="F1410" t="inlineStr">
        <is>
          <t>Payroll 2025-06-30 employer taxes</t>
        </is>
      </c>
      <c r="G1410" t="inlineStr">
        <is>
          <t>6010</t>
        </is>
      </c>
      <c r="H1410" t="inlineStr">
        <is>
          <t>Payroll Taxes</t>
        </is>
      </c>
      <c r="I1410" t="inlineStr">
        <is>
          <t>Overhead</t>
        </is>
      </c>
      <c r="J1410">
        <f>1625.62</f>
        <v/>
      </c>
    </row>
    <row r="1411">
      <c r="B1411" t="inlineStr">
        <is>
          <t>06/30/2025</t>
        </is>
      </c>
      <c r="C1411" t="inlineStr">
        <is>
          <t>Expense</t>
        </is>
      </c>
      <c r="D1411" t="inlineStr"/>
      <c r="E1411" t="inlineStr">
        <is>
          <t>Proseware Payroll</t>
        </is>
      </c>
      <c r="F1411" t="inlineStr">
        <is>
          <t>Proseware payroll debit 2025-06-30</t>
        </is>
      </c>
      <c r="G1411" t="inlineStr">
        <is>
          <t>1010</t>
        </is>
      </c>
      <c r="H1411" t="inlineStr">
        <is>
          <t>Northgate Checking 7742</t>
        </is>
      </c>
      <c r="I1411" t="inlineStr">
        <is>
          <t>Overhead</t>
        </is>
      </c>
      <c r="K1411">
        <f>22875.62</f>
        <v/>
      </c>
    </row>
    <row r="1412">
      <c r="A1412" t="inlineStr">
        <is>
          <t>Total for T-00242</t>
        </is>
      </c>
      <c r="J1412">
        <f>J1409+J1410</f>
        <v/>
      </c>
      <c r="K1412">
        <f>K1411</f>
        <v/>
      </c>
    </row>
    <row r="1413"/>
    <row r="1414">
      <c r="A1414" t="inlineStr">
        <is>
          <t>T-00244</t>
        </is>
      </c>
    </row>
    <row r="1415">
      <c r="B1415" t="inlineStr">
        <is>
          <t>06/30/2025</t>
        </is>
      </c>
      <c r="C1415" t="inlineStr">
        <is>
          <t>Deposit</t>
        </is>
      </c>
      <c r="D1415" t="inlineStr"/>
      <c r="E1415" t="inlineStr">
        <is>
          <t>Paylane</t>
        </is>
      </c>
      <c r="F1415" t="inlineStr">
        <is>
          <t>Paylane payout 2025-06 #2</t>
        </is>
      </c>
      <c r="G1415" t="inlineStr">
        <is>
          <t>1010</t>
        </is>
      </c>
      <c r="H1415" t="inlineStr">
        <is>
          <t>Northgate Checking 7742</t>
        </is>
      </c>
      <c r="I1415" t="inlineStr">
        <is>
          <t>Product</t>
        </is>
      </c>
      <c r="J1415">
        <f>13816.24</f>
        <v/>
      </c>
    </row>
    <row r="1416">
      <c r="B1416" t="inlineStr">
        <is>
          <t>06/30/2025</t>
        </is>
      </c>
      <c r="C1416" t="inlineStr">
        <is>
          <t>Deposit</t>
        </is>
      </c>
      <c r="D1416" t="inlineStr"/>
      <c r="E1416" t="inlineStr">
        <is>
          <t>Paylane</t>
        </is>
      </c>
      <c r="F1416" t="inlineStr">
        <is>
          <t>Paylane payout 2025-06 #2</t>
        </is>
      </c>
      <c r="G1416" t="inlineStr">
        <is>
          <t>1200</t>
        </is>
      </c>
      <c r="H1416" t="inlineStr">
        <is>
          <t>Paylane Clearing</t>
        </is>
      </c>
      <c r="I1416" t="inlineStr">
        <is>
          <t>Product</t>
        </is>
      </c>
      <c r="K1416">
        <f>13816.24</f>
        <v/>
      </c>
    </row>
    <row r="1417">
      <c r="A1417" t="inlineStr">
        <is>
          <t>Total for T-00244</t>
        </is>
      </c>
      <c r="J1417">
        <f>J1415</f>
        <v/>
      </c>
      <c r="K1417">
        <f>K1416</f>
        <v/>
      </c>
    </row>
    <row r="1418"/>
    <row r="1419">
      <c r="A1419" t="inlineStr">
        <is>
          <t>T-00245</t>
        </is>
      </c>
    </row>
    <row r="1420">
      <c r="B1420" t="inlineStr">
        <is>
          <t>06/30/2025</t>
        </is>
      </c>
      <c r="C1420" t="inlineStr">
        <is>
          <t>Journal Entry</t>
        </is>
      </c>
      <c r="D1420" t="inlineStr">
        <is>
          <t>JE-1024</t>
        </is>
      </c>
      <c r="E1420" t="inlineStr">
        <is>
          <t>Paylane</t>
        </is>
      </c>
      <c r="F1420" t="inlineStr">
        <is>
          <t>Paylane settlement 2025-06</t>
        </is>
      </c>
      <c r="G1420" t="inlineStr">
        <is>
          <t>1200</t>
        </is>
      </c>
      <c r="H1420" t="inlineStr">
        <is>
          <t>Paylane Clearing</t>
        </is>
      </c>
      <c r="I1420" t="inlineStr">
        <is>
          <t>Product</t>
        </is>
      </c>
      <c r="J1420">
        <f>30702.76</f>
        <v/>
      </c>
    </row>
    <row r="1421">
      <c r="B1421" t="inlineStr">
        <is>
          <t>06/30/2025</t>
        </is>
      </c>
      <c r="C1421" t="inlineStr">
        <is>
          <t>Journal Entry</t>
        </is>
      </c>
      <c r="D1421" t="inlineStr">
        <is>
          <t>JE-1024</t>
        </is>
      </c>
      <c r="E1421" t="inlineStr">
        <is>
          <t>Paylane</t>
        </is>
      </c>
      <c r="F1421" t="inlineStr">
        <is>
          <t>Paylane processing fees 2025-06, 55 charges</t>
        </is>
      </c>
      <c r="G1421" t="inlineStr">
        <is>
          <t>6950</t>
        </is>
      </c>
      <c r="H1421" t="inlineStr">
        <is>
          <t>Bank and Processor Fees</t>
        </is>
      </c>
      <c r="I1421" t="inlineStr">
        <is>
          <t>Overhead</t>
        </is>
      </c>
      <c r="J1421">
        <f>933.96</f>
        <v/>
      </c>
    </row>
    <row r="1422">
      <c r="B1422" t="inlineStr">
        <is>
          <t>06/30/2025</t>
        </is>
      </c>
      <c r="C1422" t="inlineStr">
        <is>
          <t>Journal Entry</t>
        </is>
      </c>
      <c r="D1422" t="inlineStr">
        <is>
          <t>JE-1024</t>
        </is>
      </c>
      <c r="E1422" t="inlineStr">
        <is>
          <t>Paylane</t>
        </is>
      </c>
      <c r="F1422" t="inlineStr">
        <is>
          <t>Paylane product sales 2025-06</t>
        </is>
      </c>
      <c r="G1422" t="inlineStr">
        <is>
          <t>4000</t>
        </is>
      </c>
      <c r="H1422" t="inlineStr">
        <is>
          <t>Product Revenue</t>
        </is>
      </c>
      <c r="I1422" t="inlineStr">
        <is>
          <t>Product</t>
        </is>
      </c>
      <c r="K1422">
        <f>31636.72</f>
        <v/>
      </c>
    </row>
    <row r="1423">
      <c r="A1423" t="inlineStr">
        <is>
          <t>Total for T-00245</t>
        </is>
      </c>
      <c r="J1423">
        <f>J1420+J1421</f>
        <v/>
      </c>
      <c r="K1423">
        <f>K1422</f>
        <v/>
      </c>
    </row>
    <row r="1424"/>
    <row r="1425">
      <c r="A1425" t="inlineStr">
        <is>
          <t>T-00281</t>
        </is>
      </c>
    </row>
    <row r="1426">
      <c r="B1426" t="inlineStr">
        <is>
          <t>06/30/2025</t>
        </is>
      </c>
      <c r="C1426" t="inlineStr">
        <is>
          <t>Expense</t>
        </is>
      </c>
      <c r="D1426" t="inlineStr"/>
      <c r="E1426" t="inlineStr">
        <is>
          <t>Northgate Bank</t>
        </is>
      </c>
      <c r="F1426" t="inlineStr">
        <is>
          <t>Account analysis fee 2025-06</t>
        </is>
      </c>
      <c r="G1426" t="inlineStr">
        <is>
          <t>6950</t>
        </is>
      </c>
      <c r="H1426" t="inlineStr">
        <is>
          <t>Bank and Processor Fees</t>
        </is>
      </c>
      <c r="I1426" t="inlineStr">
        <is>
          <t>Overhead</t>
        </is>
      </c>
      <c r="J1426">
        <f>45.00</f>
        <v/>
      </c>
    </row>
    <row r="1427">
      <c r="B1427" t="inlineStr">
        <is>
          <t>06/30/2025</t>
        </is>
      </c>
      <c r="C1427" t="inlineStr">
        <is>
          <t>Expense</t>
        </is>
      </c>
      <c r="D1427" t="inlineStr"/>
      <c r="E1427" t="inlineStr">
        <is>
          <t>Northgate Bank</t>
        </is>
      </c>
      <c r="F1427" t="inlineStr">
        <is>
          <t>Account analysis fee 2025-06</t>
        </is>
      </c>
      <c r="G1427" t="inlineStr">
        <is>
          <t>1010</t>
        </is>
      </c>
      <c r="H1427" t="inlineStr">
        <is>
          <t>Northgate Checking 7742</t>
        </is>
      </c>
      <c r="I1427" t="inlineStr">
        <is>
          <t>Overhead</t>
        </is>
      </c>
      <c r="K1427">
        <f>45.00</f>
        <v/>
      </c>
    </row>
    <row r="1428">
      <c r="A1428" t="inlineStr">
        <is>
          <t>Total for T-00281</t>
        </is>
      </c>
      <c r="J1428">
        <f>J1426</f>
        <v/>
      </c>
      <c r="K1428">
        <f>K1427</f>
        <v/>
      </c>
    </row>
    <row r="1429"/>
    <row r="1430">
      <c r="A1430" t="inlineStr">
        <is>
          <t>T-00282</t>
        </is>
      </c>
    </row>
    <row r="1431">
      <c r="B1431" t="inlineStr">
        <is>
          <t>06/30/2025</t>
        </is>
      </c>
      <c r="C1431" t="inlineStr">
        <is>
          <t>Deposit</t>
        </is>
      </c>
      <c r="D1431" t="inlineStr"/>
      <c r="E1431" t="inlineStr">
        <is>
          <t>Northgate Bank</t>
        </is>
      </c>
      <c r="F1431" t="inlineStr">
        <is>
          <t>Savings interest 2025-06</t>
        </is>
      </c>
      <c r="G1431" t="inlineStr">
        <is>
          <t>1020</t>
        </is>
      </c>
      <c r="H1431" t="inlineStr">
        <is>
          <t>Northgate Savings 7809</t>
        </is>
      </c>
      <c r="I1431" t="inlineStr">
        <is>
          <t>Overhead</t>
        </is>
      </c>
      <c r="J1431">
        <f>12.01</f>
        <v/>
      </c>
    </row>
    <row r="1432">
      <c r="B1432" t="inlineStr">
        <is>
          <t>06/30/2025</t>
        </is>
      </c>
      <c r="C1432" t="inlineStr">
        <is>
          <t>Deposit</t>
        </is>
      </c>
      <c r="D1432" t="inlineStr"/>
      <c r="E1432" t="inlineStr">
        <is>
          <t>Northgate Bank</t>
        </is>
      </c>
      <c r="F1432" t="inlineStr">
        <is>
          <t>Savings interest 2025-06</t>
        </is>
      </c>
      <c r="G1432" t="inlineStr">
        <is>
          <t>4900</t>
        </is>
      </c>
      <c r="H1432" t="inlineStr">
        <is>
          <t>Interest Income</t>
        </is>
      </c>
      <c r="I1432" t="inlineStr">
        <is>
          <t>Overhead</t>
        </is>
      </c>
      <c r="K1432">
        <f>12.01</f>
        <v/>
      </c>
    </row>
    <row r="1433">
      <c r="A1433" t="inlineStr">
        <is>
          <t>Total for T-00282</t>
        </is>
      </c>
      <c r="J1433">
        <f>J1431</f>
        <v/>
      </c>
      <c r="K1433">
        <f>K1432</f>
        <v/>
      </c>
    </row>
    <row r="1434"/>
    <row r="1435">
      <c r="A1435" t="inlineStr">
        <is>
          <t>T-00283</t>
        </is>
      </c>
    </row>
    <row r="1436">
      <c r="B1436" t="inlineStr">
        <is>
          <t>06/30/2025</t>
        </is>
      </c>
      <c r="C1436" t="inlineStr">
        <is>
          <t>Journal Entry</t>
        </is>
      </c>
      <c r="D1436" t="inlineStr">
        <is>
          <t>JE-1025</t>
        </is>
      </c>
      <c r="E1436" t="inlineStr">
        <is>
          <t>Adatum Insurance</t>
        </is>
      </c>
      <c r="F1436" t="inlineStr">
        <is>
          <t>Insurance 2025-06</t>
        </is>
      </c>
      <c r="G1436" t="inlineStr">
        <is>
          <t>6500</t>
        </is>
      </c>
      <c r="H1436" t="inlineStr">
        <is>
          <t>Insurance</t>
        </is>
      </c>
      <c r="I1436" t="inlineStr">
        <is>
          <t>Overhead</t>
        </is>
      </c>
      <c r="J1436">
        <f>1200.00</f>
        <v/>
      </c>
    </row>
    <row r="1437">
      <c r="B1437" t="inlineStr">
        <is>
          <t>06/30/2025</t>
        </is>
      </c>
      <c r="C1437" t="inlineStr">
        <is>
          <t>Journal Entry</t>
        </is>
      </c>
      <c r="D1437" t="inlineStr">
        <is>
          <t>JE-1025</t>
        </is>
      </c>
      <c r="E1437" t="inlineStr">
        <is>
          <t>Adatum Insurance</t>
        </is>
      </c>
      <c r="F1437" t="inlineStr">
        <is>
          <t>Insurance 2025-06</t>
        </is>
      </c>
      <c r="G1437" t="inlineStr">
        <is>
          <t>1300</t>
        </is>
      </c>
      <c r="H1437" t="inlineStr">
        <is>
          <t>Prepaid Insurance</t>
        </is>
      </c>
      <c r="I1437" t="inlineStr">
        <is>
          <t>Overhead</t>
        </is>
      </c>
      <c r="K1437">
        <f>1200.00</f>
        <v/>
      </c>
    </row>
    <row r="1438">
      <c r="A1438" t="inlineStr">
        <is>
          <t>Total for T-00283</t>
        </is>
      </c>
      <c r="J1438">
        <f>J1436</f>
        <v/>
      </c>
      <c r="K1438">
        <f>K1437</f>
        <v/>
      </c>
    </row>
    <row r="1439"/>
    <row r="1440">
      <c r="A1440" t="inlineStr">
        <is>
          <t>T-00284</t>
        </is>
      </c>
    </row>
    <row r="1441">
      <c r="B1441" t="inlineStr">
        <is>
          <t>06/30/2025</t>
        </is>
      </c>
      <c r="C1441" t="inlineStr">
        <is>
          <t>Journal Entry</t>
        </is>
      </c>
      <c r="D1441" t="inlineStr">
        <is>
          <t>JE-1026</t>
        </is>
      </c>
      <c r="E1441" t="inlineStr">
        <is>
          <t>Tailspin Tools</t>
        </is>
      </c>
      <c r="F1441" t="inlineStr">
        <is>
          <t>Software 2025-06</t>
        </is>
      </c>
      <c r="G1441" t="inlineStr">
        <is>
          <t>6200</t>
        </is>
      </c>
      <c r="H1441" t="inlineStr">
        <is>
          <t>Software Subscriptions</t>
        </is>
      </c>
      <c r="I1441" t="inlineStr">
        <is>
          <t>Overhead</t>
        </is>
      </c>
      <c r="J1441">
        <f>800.00</f>
        <v/>
      </c>
    </row>
    <row r="1442">
      <c r="B1442" t="inlineStr">
        <is>
          <t>06/30/2025</t>
        </is>
      </c>
      <c r="C1442" t="inlineStr">
        <is>
          <t>Journal Entry</t>
        </is>
      </c>
      <c r="D1442" t="inlineStr">
        <is>
          <t>JE-1026</t>
        </is>
      </c>
      <c r="E1442" t="inlineStr">
        <is>
          <t>Tailspin Tools</t>
        </is>
      </c>
      <c r="F1442" t="inlineStr">
        <is>
          <t>Software 2025-06</t>
        </is>
      </c>
      <c r="G1442" t="inlineStr">
        <is>
          <t>1310</t>
        </is>
      </c>
      <c r="H1442" t="inlineStr">
        <is>
          <t>Prepaid Software</t>
        </is>
      </c>
      <c r="I1442" t="inlineStr">
        <is>
          <t>Overhead</t>
        </is>
      </c>
      <c r="K1442">
        <f>800.00</f>
        <v/>
      </c>
    </row>
    <row r="1443">
      <c r="A1443" t="inlineStr">
        <is>
          <t>Total for T-00284</t>
        </is>
      </c>
      <c r="J1443">
        <f>J1441</f>
        <v/>
      </c>
      <c r="K1443">
        <f>K1442</f>
        <v/>
      </c>
    </row>
    <row r="1444"/>
    <row r="1445">
      <c r="A1445" t="inlineStr">
        <is>
          <t>T-00285</t>
        </is>
      </c>
    </row>
    <row r="1446">
      <c r="B1446" t="inlineStr">
        <is>
          <t>06/30/2025</t>
        </is>
      </c>
      <c r="C1446" t="inlineStr">
        <is>
          <t>Journal Entry</t>
        </is>
      </c>
      <c r="D1446" t="inlineStr">
        <is>
          <t>JE-1027</t>
        </is>
      </c>
      <c r="E1446" t="inlineStr">
        <is>
          <t>Orion Design Works</t>
        </is>
      </c>
      <c r="F1446" t="inlineStr">
        <is>
          <t>Design license 2025-06</t>
        </is>
      </c>
      <c r="G1446" t="inlineStr">
        <is>
          <t>7100</t>
        </is>
      </c>
      <c r="H1446" t="inlineStr">
        <is>
          <t>Amortization Expense</t>
        </is>
      </c>
      <c r="I1446" t="inlineStr">
        <is>
          <t>Product</t>
        </is>
      </c>
      <c r="J1446">
        <f>1000.00</f>
        <v/>
      </c>
    </row>
    <row r="1447">
      <c r="B1447" t="inlineStr">
        <is>
          <t>06/30/2025</t>
        </is>
      </c>
      <c r="C1447" t="inlineStr">
        <is>
          <t>Journal Entry</t>
        </is>
      </c>
      <c r="D1447" t="inlineStr">
        <is>
          <t>JE-1027</t>
        </is>
      </c>
      <c r="E1447" t="inlineStr">
        <is>
          <t>Orion Design Works</t>
        </is>
      </c>
      <c r="F1447" t="inlineStr">
        <is>
          <t>Design license 2025-06</t>
        </is>
      </c>
      <c r="G1447" t="inlineStr">
        <is>
          <t>1610</t>
        </is>
      </c>
      <c r="H1447" t="inlineStr">
        <is>
          <t>Accumulated Amortization - Design License</t>
        </is>
      </c>
      <c r="I1447" t="inlineStr">
        <is>
          <t>Product</t>
        </is>
      </c>
      <c r="K1447">
        <f>1000.00</f>
        <v/>
      </c>
    </row>
    <row r="1448">
      <c r="A1448" t="inlineStr">
        <is>
          <t>Total for T-00285</t>
        </is>
      </c>
      <c r="J1448">
        <f>J1446</f>
        <v/>
      </c>
      <c r="K1448">
        <f>K1447</f>
        <v/>
      </c>
    </row>
    <row r="1449"/>
    <row r="1450">
      <c r="A1450" t="inlineStr">
        <is>
          <t>T-00286</t>
        </is>
      </c>
    </row>
    <row r="1451">
      <c r="B1451" t="inlineStr">
        <is>
          <t>06/30/2025</t>
        </is>
      </c>
      <c r="C1451" t="inlineStr">
        <is>
          <t>Journal Entry</t>
        </is>
      </c>
      <c r="D1451" t="inlineStr">
        <is>
          <t>JE-1028</t>
        </is>
      </c>
      <c r="E1451" t="inlineStr"/>
      <c r="F1451" t="inlineStr">
        <is>
          <t>Depreciation 2025-06</t>
        </is>
      </c>
      <c r="G1451" t="inlineStr">
        <is>
          <t>7000</t>
        </is>
      </c>
      <c r="H1451" t="inlineStr">
        <is>
          <t>Depreciation Expense</t>
        </is>
      </c>
      <c r="I1451" t="inlineStr">
        <is>
          <t>Product</t>
        </is>
      </c>
      <c r="J1451">
        <f>800.00</f>
        <v/>
      </c>
    </row>
    <row r="1452">
      <c r="B1452" t="inlineStr">
        <is>
          <t>06/30/2025</t>
        </is>
      </c>
      <c r="C1452" t="inlineStr">
        <is>
          <t>Journal Entry</t>
        </is>
      </c>
      <c r="D1452" t="inlineStr">
        <is>
          <t>JE-1028</t>
        </is>
      </c>
      <c r="E1452" t="inlineStr"/>
      <c r="F1452" t="inlineStr">
        <is>
          <t>Depreciation 2025-06</t>
        </is>
      </c>
      <c r="G1452" t="inlineStr">
        <is>
          <t>1510</t>
        </is>
      </c>
      <c r="H1452" t="inlineStr">
        <is>
          <t>Accumulated Depreciation</t>
        </is>
      </c>
      <c r="I1452" t="inlineStr">
        <is>
          <t>Product</t>
        </is>
      </c>
      <c r="K1452">
        <f>800.00</f>
        <v/>
      </c>
    </row>
    <row r="1453">
      <c r="A1453" t="inlineStr">
        <is>
          <t>Total for T-00286</t>
        </is>
      </c>
      <c r="J1453">
        <f>J1451</f>
        <v/>
      </c>
      <c r="K1453">
        <f>K1452</f>
        <v/>
      </c>
    </row>
    <row r="1454"/>
    <row r="1455">
      <c r="A1455" t="inlineStr">
        <is>
          <t>T-00287</t>
        </is>
      </c>
    </row>
    <row r="1456">
      <c r="B1456" t="inlineStr">
        <is>
          <t>07/01/2025</t>
        </is>
      </c>
      <c r="C1456" t="inlineStr">
        <is>
          <t>Expense</t>
        </is>
      </c>
      <c r="D1456" t="inlineStr"/>
      <c r="E1456" t="inlineStr">
        <is>
          <t>Wingtip Workspace</t>
        </is>
      </c>
      <c r="F1456" t="inlineStr">
        <is>
          <t>Office rent 2025-07</t>
        </is>
      </c>
      <c r="G1456" t="inlineStr">
        <is>
          <t>6400</t>
        </is>
      </c>
      <c r="H1456" t="inlineStr">
        <is>
          <t>Rent</t>
        </is>
      </c>
      <c r="I1456" t="inlineStr">
        <is>
          <t>Overhead</t>
        </is>
      </c>
      <c r="J1456">
        <f>6500.00</f>
        <v/>
      </c>
    </row>
    <row r="1457">
      <c r="B1457" t="inlineStr">
        <is>
          <t>07/01/2025</t>
        </is>
      </c>
      <c r="C1457" t="inlineStr">
        <is>
          <t>Expense</t>
        </is>
      </c>
      <c r="D1457" t="inlineStr"/>
      <c r="E1457" t="inlineStr">
        <is>
          <t>Wingtip Workspace</t>
        </is>
      </c>
      <c r="F1457" t="inlineStr">
        <is>
          <t>Office rent 2025-07</t>
        </is>
      </c>
      <c r="G1457" t="inlineStr">
        <is>
          <t>1010</t>
        </is>
      </c>
      <c r="H1457" t="inlineStr">
        <is>
          <t>Northgate Checking 7742</t>
        </is>
      </c>
      <c r="I1457" t="inlineStr">
        <is>
          <t>Overhead</t>
        </is>
      </c>
      <c r="K1457">
        <f>6500.00</f>
        <v/>
      </c>
    </row>
    <row r="1458">
      <c r="A1458" t="inlineStr">
        <is>
          <t>Total for T-00287</t>
        </is>
      </c>
      <c r="J1458">
        <f>J1456</f>
        <v/>
      </c>
      <c r="K1458">
        <f>K1457</f>
        <v/>
      </c>
    </row>
    <row r="1459"/>
    <row r="1460">
      <c r="A1460" t="inlineStr">
        <is>
          <t>T-00309</t>
        </is>
      </c>
    </row>
    <row r="1461">
      <c r="B1461" t="inlineStr">
        <is>
          <t>07/02/2025</t>
        </is>
      </c>
      <c r="C1461" t="inlineStr">
        <is>
          <t>Expense</t>
        </is>
      </c>
      <c r="D1461" t="inlineStr"/>
      <c r="E1461" t="inlineStr">
        <is>
          <t>Fabrikam Freight</t>
        </is>
      </c>
      <c r="F1461" t="inlineStr">
        <is>
          <t>Fabrikam Freight invoice 91111</t>
        </is>
      </c>
      <c r="G1461" t="inlineStr">
        <is>
          <t>5100</t>
        </is>
      </c>
      <c r="H1461" t="inlineStr">
        <is>
          <t>Shipping and Freight</t>
        </is>
      </c>
      <c r="I1461" t="inlineStr">
        <is>
          <t>Product</t>
        </is>
      </c>
      <c r="J1461">
        <f>754.53</f>
        <v/>
      </c>
    </row>
    <row r="1462">
      <c r="B1462" t="inlineStr">
        <is>
          <t>07/02/2025</t>
        </is>
      </c>
      <c r="C1462" t="inlineStr">
        <is>
          <t>Expense</t>
        </is>
      </c>
      <c r="D1462" t="inlineStr"/>
      <c r="E1462" t="inlineStr">
        <is>
          <t>Fabrikam Freight</t>
        </is>
      </c>
      <c r="F1462" t="inlineStr">
        <is>
          <t>Fabrikam Freight invoice 91111</t>
        </is>
      </c>
      <c r="G1462" t="inlineStr">
        <is>
          <t>1010</t>
        </is>
      </c>
      <c r="H1462" t="inlineStr">
        <is>
          <t>Northgate Checking 7742</t>
        </is>
      </c>
      <c r="I1462" t="inlineStr">
        <is>
          <t>Product</t>
        </is>
      </c>
      <c r="K1462">
        <f>754.53</f>
        <v/>
      </c>
    </row>
    <row r="1463">
      <c r="A1463" t="inlineStr">
        <is>
          <t>Total for T-00309</t>
        </is>
      </c>
      <c r="J1463">
        <f>J1461</f>
        <v/>
      </c>
      <c r="K1463">
        <f>K1462</f>
        <v/>
      </c>
    </row>
    <row r="1464"/>
    <row r="1465">
      <c r="A1465" t="inlineStr">
        <is>
          <t>T-00320</t>
        </is>
      </c>
    </row>
    <row r="1466">
      <c r="B1466" t="inlineStr">
        <is>
          <t>07/02/2025</t>
        </is>
      </c>
      <c r="C1466" t="inlineStr">
        <is>
          <t>Expense</t>
        </is>
      </c>
      <c r="D1466" t="inlineStr"/>
      <c r="E1466" t="inlineStr">
        <is>
          <t>Litware Legal</t>
        </is>
      </c>
      <c r="F1466" t="inlineStr">
        <is>
          <t>Litware Legal invoice 33976</t>
        </is>
      </c>
      <c r="G1466" t="inlineStr">
        <is>
          <t>6800</t>
        </is>
      </c>
      <c r="H1466" t="inlineStr">
        <is>
          <t>Professional Fees</t>
        </is>
      </c>
      <c r="I1466" t="inlineStr">
        <is>
          <t>Overhead</t>
        </is>
      </c>
      <c r="J1466">
        <f>2318.42</f>
        <v/>
      </c>
    </row>
    <row r="1467">
      <c r="B1467" t="inlineStr">
        <is>
          <t>07/02/2025</t>
        </is>
      </c>
      <c r="C1467" t="inlineStr">
        <is>
          <t>Expense</t>
        </is>
      </c>
      <c r="D1467" t="inlineStr"/>
      <c r="E1467" t="inlineStr">
        <is>
          <t>Litware Legal</t>
        </is>
      </c>
      <c r="F1467" t="inlineStr">
        <is>
          <t>Litware Legal invoice 33976</t>
        </is>
      </c>
      <c r="G1467" t="inlineStr">
        <is>
          <t>1010</t>
        </is>
      </c>
      <c r="H1467" t="inlineStr">
        <is>
          <t>Northgate Checking 7742</t>
        </is>
      </c>
      <c r="I1467" t="inlineStr">
        <is>
          <t>Overhead</t>
        </is>
      </c>
      <c r="K1467">
        <f>2318.42</f>
        <v/>
      </c>
    </row>
    <row r="1468">
      <c r="A1468" t="inlineStr">
        <is>
          <t>Total for T-00320</t>
        </is>
      </c>
      <c r="J1468">
        <f>J1466</f>
        <v/>
      </c>
      <c r="K1468">
        <f>K1467</f>
        <v/>
      </c>
    </row>
    <row r="1469"/>
    <row r="1470">
      <c r="A1470" t="inlineStr">
        <is>
          <t>T-00335</t>
        </is>
      </c>
    </row>
    <row r="1471">
      <c r="B1471" t="inlineStr">
        <is>
          <t>07/02/2025</t>
        </is>
      </c>
      <c r="C1471" t="inlineStr">
        <is>
          <t>Credit Card Charge</t>
        </is>
      </c>
      <c r="D1471" t="inlineStr"/>
      <c r="E1471" t="inlineStr">
        <is>
          <t>Contoso Cloud</t>
        </is>
      </c>
      <c r="F1471" t="inlineStr">
        <is>
          <t>Contoso Cloud 2025-07</t>
        </is>
      </c>
      <c r="G1471" t="inlineStr">
        <is>
          <t>6300</t>
        </is>
      </c>
      <c r="H1471" t="inlineStr">
        <is>
          <t>Cloud Hosting</t>
        </is>
      </c>
      <c r="I1471" t="inlineStr">
        <is>
          <t>Services</t>
        </is>
      </c>
      <c r="J1471">
        <f>1141.12</f>
        <v/>
      </c>
    </row>
    <row r="1472">
      <c r="B1472" t="inlineStr">
        <is>
          <t>07/02/2025</t>
        </is>
      </c>
      <c r="C1472" t="inlineStr">
        <is>
          <t>Credit Card Charge</t>
        </is>
      </c>
      <c r="D1472" t="inlineStr"/>
      <c r="E1472" t="inlineStr">
        <is>
          <t>Contoso Cloud</t>
        </is>
      </c>
      <c r="F1472" t="inlineStr">
        <is>
          <t>Contoso Cloud 2025-07</t>
        </is>
      </c>
      <c r="H1472" t="inlineStr">
        <is>
          <t>Vantage Credit Card 3391</t>
        </is>
      </c>
      <c r="I1472" t="inlineStr">
        <is>
          <t>Services</t>
        </is>
      </c>
      <c r="K1472">
        <f>1141.12</f>
        <v/>
      </c>
    </row>
    <row r="1473">
      <c r="A1473" t="inlineStr">
        <is>
          <t>Total for T-00335</t>
        </is>
      </c>
      <c r="J1473">
        <f>J1471</f>
        <v/>
      </c>
      <c r="K1473">
        <f>K1472</f>
        <v/>
      </c>
    </row>
    <row r="1474"/>
    <row r="1475">
      <c r="A1475" t="inlineStr">
        <is>
          <t>T-00330</t>
        </is>
      </c>
    </row>
    <row r="1476">
      <c r="B1476" t="inlineStr">
        <is>
          <t>07/03/2025</t>
        </is>
      </c>
      <c r="C1476" t="inlineStr">
        <is>
          <t>Expense</t>
        </is>
      </c>
      <c r="D1476" t="inlineStr"/>
      <c r="E1476" t="inlineStr">
        <is>
          <t>Northwind Supply</t>
        </is>
      </c>
      <c r="F1476" t="inlineStr">
        <is>
          <t>Northwind Supply invoice 97032</t>
        </is>
      </c>
      <c r="G1476" t="inlineStr">
        <is>
          <t>5000</t>
        </is>
      </c>
      <c r="H1476" t="inlineStr">
        <is>
          <t>Cost of Goods Sold - Components</t>
        </is>
      </c>
      <c r="I1476" t="inlineStr">
        <is>
          <t>Product</t>
        </is>
      </c>
      <c r="J1476">
        <f>493.35</f>
        <v/>
      </c>
    </row>
    <row r="1477">
      <c r="B1477" t="inlineStr">
        <is>
          <t>07/03/2025</t>
        </is>
      </c>
      <c r="C1477" t="inlineStr">
        <is>
          <t>Expense</t>
        </is>
      </c>
      <c r="D1477" t="inlineStr"/>
      <c r="E1477" t="inlineStr">
        <is>
          <t>Northwind Supply</t>
        </is>
      </c>
      <c r="F1477" t="inlineStr">
        <is>
          <t>Northwind Supply invoice 97032</t>
        </is>
      </c>
      <c r="G1477" t="inlineStr">
        <is>
          <t>1010</t>
        </is>
      </c>
      <c r="H1477" t="inlineStr">
        <is>
          <t>Northgate Checking 7742</t>
        </is>
      </c>
      <c r="I1477" t="inlineStr">
        <is>
          <t>Product</t>
        </is>
      </c>
      <c r="K1477">
        <f>493.35</f>
        <v/>
      </c>
    </row>
    <row r="1478">
      <c r="A1478" t="inlineStr">
        <is>
          <t>Total for T-00330</t>
        </is>
      </c>
      <c r="J1478">
        <f>J1476</f>
        <v/>
      </c>
      <c r="K1478">
        <f>K1477</f>
        <v/>
      </c>
    </row>
    <row r="1479"/>
    <row r="1480">
      <c r="A1480" t="inlineStr">
        <is>
          <t>T-00288</t>
        </is>
      </c>
    </row>
    <row r="1481">
      <c r="B1481" t="inlineStr">
        <is>
          <t>07/04/2025</t>
        </is>
      </c>
      <c r="C1481" t="inlineStr">
        <is>
          <t>Credit Card Charge</t>
        </is>
      </c>
      <c r="D1481" t="inlineStr"/>
      <c r="E1481" t="inlineStr">
        <is>
          <t>Contoso Cloud</t>
        </is>
      </c>
      <c r="F1481" t="inlineStr">
        <is>
          <t>Cloud hosting 2025-07</t>
        </is>
      </c>
      <c r="G1481" t="inlineStr">
        <is>
          <t>6300</t>
        </is>
      </c>
      <c r="H1481" t="inlineStr">
        <is>
          <t>Cloud Hosting</t>
        </is>
      </c>
      <c r="I1481" t="inlineStr">
        <is>
          <t>Services</t>
        </is>
      </c>
      <c r="J1481">
        <f>3120.00</f>
        <v/>
      </c>
    </row>
    <row r="1482">
      <c r="B1482" t="inlineStr">
        <is>
          <t>07/04/2025</t>
        </is>
      </c>
      <c r="C1482" t="inlineStr">
        <is>
          <t>Credit Card Charge</t>
        </is>
      </c>
      <c r="D1482" t="inlineStr"/>
      <c r="E1482" t="inlineStr">
        <is>
          <t>Contoso Cloud</t>
        </is>
      </c>
      <c r="F1482" t="inlineStr">
        <is>
          <t>Cloud hosting 2025-07</t>
        </is>
      </c>
      <c r="H1482" t="inlineStr">
        <is>
          <t>Vantage Credit Card 3391</t>
        </is>
      </c>
      <c r="I1482" t="inlineStr">
        <is>
          <t>Services</t>
        </is>
      </c>
      <c r="K1482">
        <f>3120.00</f>
        <v/>
      </c>
    </row>
    <row r="1483">
      <c r="A1483" t="inlineStr">
        <is>
          <t>Total for T-00288</t>
        </is>
      </c>
      <c r="J1483">
        <f>J1481</f>
        <v/>
      </c>
      <c r="K1483">
        <f>K1482</f>
        <v/>
      </c>
    </row>
    <row r="1484"/>
    <row r="1485">
      <c r="A1485" t="inlineStr">
        <is>
          <t>T-00314</t>
        </is>
      </c>
    </row>
    <row r="1486">
      <c r="B1486" t="inlineStr">
        <is>
          <t>07/04/2025</t>
        </is>
      </c>
      <c r="C1486" t="inlineStr">
        <is>
          <t>Expense</t>
        </is>
      </c>
      <c r="D1486" t="inlineStr"/>
      <c r="E1486" t="inlineStr">
        <is>
          <t>Fabrikam Freight</t>
        </is>
      </c>
      <c r="F1486" t="inlineStr">
        <is>
          <t>Fabrikam Freight invoice 75380</t>
        </is>
      </c>
      <c r="G1486" t="inlineStr">
        <is>
          <t>5100</t>
        </is>
      </c>
      <c r="H1486" t="inlineStr">
        <is>
          <t>Shipping and Freight</t>
        </is>
      </c>
      <c r="I1486" t="inlineStr">
        <is>
          <t>Product</t>
        </is>
      </c>
      <c r="J1486">
        <f>763.03</f>
        <v/>
      </c>
    </row>
    <row r="1487">
      <c r="B1487" t="inlineStr">
        <is>
          <t>07/04/2025</t>
        </is>
      </c>
      <c r="C1487" t="inlineStr">
        <is>
          <t>Expense</t>
        </is>
      </c>
      <c r="D1487" t="inlineStr"/>
      <c r="E1487" t="inlineStr">
        <is>
          <t>Fabrikam Freight</t>
        </is>
      </c>
      <c r="F1487" t="inlineStr">
        <is>
          <t>Fabrikam Freight invoice 75380</t>
        </is>
      </c>
      <c r="G1487" t="inlineStr">
        <is>
          <t>1010</t>
        </is>
      </c>
      <c r="H1487" t="inlineStr">
        <is>
          <t>Northgate Checking 7742</t>
        </is>
      </c>
      <c r="I1487" t="inlineStr">
        <is>
          <t>Product</t>
        </is>
      </c>
      <c r="K1487">
        <f>763.03</f>
        <v/>
      </c>
    </row>
    <row r="1488">
      <c r="A1488" t="inlineStr">
        <is>
          <t>Total for T-00314</t>
        </is>
      </c>
      <c r="J1488">
        <f>J1486</f>
        <v/>
      </c>
      <c r="K1488">
        <f>K1487</f>
        <v/>
      </c>
    </row>
    <row r="1489"/>
    <row r="1490">
      <c r="A1490" t="inlineStr">
        <is>
          <t>T-00325</t>
        </is>
      </c>
    </row>
    <row r="1491">
      <c r="B1491" t="inlineStr">
        <is>
          <t>07/04/2025</t>
        </is>
      </c>
      <c r="C1491" t="inlineStr">
        <is>
          <t>Expense</t>
        </is>
      </c>
      <c r="D1491" t="inlineStr"/>
      <c r="E1491" t="inlineStr">
        <is>
          <t>Redwood Prototyping</t>
        </is>
      </c>
      <c r="F1491" t="inlineStr">
        <is>
          <t>Redwood Prototyping invoice 87916</t>
        </is>
      </c>
      <c r="G1491" t="inlineStr">
        <is>
          <t>6100</t>
        </is>
      </c>
      <c r="H1491" t="inlineStr">
        <is>
          <t>Contract Engineering</t>
        </is>
      </c>
      <c r="I1491" t="inlineStr">
        <is>
          <t>Product</t>
        </is>
      </c>
      <c r="J1491">
        <f>384.76</f>
        <v/>
      </c>
    </row>
    <row r="1492">
      <c r="B1492" t="inlineStr">
        <is>
          <t>07/04/2025</t>
        </is>
      </c>
      <c r="C1492" t="inlineStr">
        <is>
          <t>Expense</t>
        </is>
      </c>
      <c r="D1492" t="inlineStr"/>
      <c r="E1492" t="inlineStr">
        <is>
          <t>Redwood Prototyping</t>
        </is>
      </c>
      <c r="F1492" t="inlineStr">
        <is>
          <t>Redwood Prototyping invoice 87916</t>
        </is>
      </c>
      <c r="G1492" t="inlineStr">
        <is>
          <t>1010</t>
        </is>
      </c>
      <c r="H1492" t="inlineStr">
        <is>
          <t>Northgate Checking 7742</t>
        </is>
      </c>
      <c r="I1492" t="inlineStr">
        <is>
          <t>Product</t>
        </is>
      </c>
      <c r="K1492">
        <f>384.76</f>
        <v/>
      </c>
    </row>
    <row r="1493">
      <c r="A1493" t="inlineStr">
        <is>
          <t>Total for T-00325</t>
        </is>
      </c>
      <c r="J1493">
        <f>J1491</f>
        <v/>
      </c>
      <c r="K1493">
        <f>K1492</f>
        <v/>
      </c>
    </row>
    <row r="1494"/>
    <row r="1495">
      <c r="A1495" t="inlineStr">
        <is>
          <t>T-00290</t>
        </is>
      </c>
    </row>
    <row r="1496">
      <c r="B1496" t="inlineStr">
        <is>
          <t>07/05/2025</t>
        </is>
      </c>
      <c r="C1496" t="inlineStr">
        <is>
          <t>Expense</t>
        </is>
      </c>
      <c r="D1496" t="inlineStr"/>
      <c r="E1496" t="inlineStr">
        <is>
          <t>Vantage Card</t>
        </is>
      </c>
      <c r="F1496" t="inlineStr">
        <is>
          <t>Vantage card payment</t>
        </is>
      </c>
      <c r="G1496" t="inlineStr">
        <is>
          <t>2100</t>
        </is>
      </c>
      <c r="H1496" t="inlineStr">
        <is>
          <t>Vantage Card 3391</t>
        </is>
      </c>
      <c r="I1496" t="inlineStr">
        <is>
          <t>Overhead</t>
        </is>
      </c>
      <c r="J1496">
        <f>10282.64</f>
        <v/>
      </c>
    </row>
    <row r="1497">
      <c r="B1497" t="inlineStr">
        <is>
          <t>07/05/2025</t>
        </is>
      </c>
      <c r="C1497" t="inlineStr">
        <is>
          <t>Expense</t>
        </is>
      </c>
      <c r="D1497" t="inlineStr"/>
      <c r="E1497" t="inlineStr">
        <is>
          <t>Vantage Card</t>
        </is>
      </c>
      <c r="F1497" t="inlineStr">
        <is>
          <t>Vantage card payment</t>
        </is>
      </c>
      <c r="G1497" t="inlineStr">
        <is>
          <t>1010</t>
        </is>
      </c>
      <c r="H1497" t="inlineStr">
        <is>
          <t>Northgate Checking 7742</t>
        </is>
      </c>
      <c r="I1497" t="inlineStr">
        <is>
          <t>Overhead</t>
        </is>
      </c>
      <c r="K1497">
        <f>10282.64</f>
        <v/>
      </c>
    </row>
    <row r="1498">
      <c r="A1498" t="inlineStr">
        <is>
          <t>Total for T-00290</t>
        </is>
      </c>
      <c r="J1498">
        <f>J1496</f>
        <v/>
      </c>
      <c r="K1498">
        <f>K1497</f>
        <v/>
      </c>
    </row>
    <row r="1499"/>
    <row r="1500">
      <c r="A1500" t="inlineStr">
        <is>
          <t>T-00291</t>
        </is>
      </c>
    </row>
    <row r="1501">
      <c r="B1501" t="inlineStr">
        <is>
          <t>07/05/2025</t>
        </is>
      </c>
      <c r="C1501" t="inlineStr">
        <is>
          <t>Transfer</t>
        </is>
      </c>
      <c r="D1501" t="inlineStr"/>
      <c r="E1501" t="inlineStr"/>
      <c r="F1501" t="inlineStr">
        <is>
          <t>Transfer to savings</t>
        </is>
      </c>
      <c r="G1501" t="inlineStr">
        <is>
          <t>1020</t>
        </is>
      </c>
      <c r="H1501" t="inlineStr">
        <is>
          <t>Northgate Savings 7809</t>
        </is>
      </c>
      <c r="I1501" t="inlineStr">
        <is>
          <t>Overhead</t>
        </is>
      </c>
      <c r="J1501">
        <f>5000.00</f>
        <v/>
      </c>
    </row>
    <row r="1502">
      <c r="B1502" t="inlineStr">
        <is>
          <t>07/05/2025</t>
        </is>
      </c>
      <c r="C1502" t="inlineStr">
        <is>
          <t>Transfer</t>
        </is>
      </c>
      <c r="D1502" t="inlineStr"/>
      <c r="E1502" t="inlineStr"/>
      <c r="F1502" t="inlineStr">
        <is>
          <t>Transfer to savings</t>
        </is>
      </c>
      <c r="G1502" t="inlineStr">
        <is>
          <t>1010</t>
        </is>
      </c>
      <c r="H1502" t="inlineStr">
        <is>
          <t>Northgate Checking 7742</t>
        </is>
      </c>
      <c r="I1502" t="inlineStr">
        <is>
          <t>Overhead</t>
        </is>
      </c>
      <c r="K1502">
        <f>5000.00</f>
        <v/>
      </c>
    </row>
    <row r="1503">
      <c r="A1503" t="inlineStr">
        <is>
          <t>Total for T-00291</t>
        </is>
      </c>
      <c r="J1503">
        <f>J1501</f>
        <v/>
      </c>
      <c r="K1503">
        <f>K1502</f>
        <v/>
      </c>
    </row>
    <row r="1504"/>
    <row r="1505">
      <c r="A1505" t="inlineStr">
        <is>
          <t>T-00312</t>
        </is>
      </c>
    </row>
    <row r="1506">
      <c r="B1506" t="inlineStr">
        <is>
          <t>07/05/2025</t>
        </is>
      </c>
      <c r="C1506" t="inlineStr">
        <is>
          <t>Expense</t>
        </is>
      </c>
      <c r="D1506" t="inlineStr"/>
      <c r="E1506" t="inlineStr">
        <is>
          <t>Fabrikam Freight</t>
        </is>
      </c>
      <c r="F1506" t="inlineStr">
        <is>
          <t>Fabrikam Freight invoice 35385</t>
        </is>
      </c>
      <c r="G1506" t="inlineStr">
        <is>
          <t>5100</t>
        </is>
      </c>
      <c r="H1506" t="inlineStr">
        <is>
          <t>Shipping and Freight</t>
        </is>
      </c>
      <c r="I1506" t="inlineStr">
        <is>
          <t>Product</t>
        </is>
      </c>
      <c r="J1506">
        <f>621.04</f>
        <v/>
      </c>
    </row>
    <row r="1507">
      <c r="B1507" t="inlineStr">
        <is>
          <t>07/05/2025</t>
        </is>
      </c>
      <c r="C1507" t="inlineStr">
        <is>
          <t>Expense</t>
        </is>
      </c>
      <c r="D1507" t="inlineStr"/>
      <c r="E1507" t="inlineStr">
        <is>
          <t>Fabrikam Freight</t>
        </is>
      </c>
      <c r="F1507" t="inlineStr">
        <is>
          <t>Fabrikam Freight invoice 35385</t>
        </is>
      </c>
      <c r="G1507" t="inlineStr">
        <is>
          <t>1010</t>
        </is>
      </c>
      <c r="H1507" t="inlineStr">
        <is>
          <t>Northgate Checking 7742</t>
        </is>
      </c>
      <c r="I1507" t="inlineStr">
        <is>
          <t>Product</t>
        </is>
      </c>
      <c r="K1507">
        <f>621.04</f>
        <v/>
      </c>
    </row>
    <row r="1508">
      <c r="A1508" t="inlineStr">
        <is>
          <t>Total for T-00312</t>
        </is>
      </c>
      <c r="J1508">
        <f>J1506</f>
        <v/>
      </c>
      <c r="K1508">
        <f>K1507</f>
        <v/>
      </c>
    </row>
    <row r="1509"/>
    <row r="1510">
      <c r="A1510" t="inlineStr">
        <is>
          <t>T-00315</t>
        </is>
      </c>
    </row>
    <row r="1511">
      <c r="B1511" t="inlineStr">
        <is>
          <t>07/05/2025</t>
        </is>
      </c>
      <c r="C1511" t="inlineStr">
        <is>
          <t>Expense</t>
        </is>
      </c>
      <c r="D1511" t="inlineStr"/>
      <c r="E1511" t="inlineStr">
        <is>
          <t>Bluepeak Engineering</t>
        </is>
      </c>
      <c r="F1511" t="inlineStr">
        <is>
          <t>Bluepeak Engineering invoice 53296</t>
        </is>
      </c>
      <c r="G1511" t="inlineStr">
        <is>
          <t>6100</t>
        </is>
      </c>
      <c r="H1511" t="inlineStr">
        <is>
          <t>Contract Engineering</t>
        </is>
      </c>
      <c r="I1511" t="inlineStr">
        <is>
          <t>Product</t>
        </is>
      </c>
      <c r="J1511">
        <f>1627.10</f>
        <v/>
      </c>
    </row>
    <row r="1512">
      <c r="B1512" t="inlineStr">
        <is>
          <t>07/05/2025</t>
        </is>
      </c>
      <c r="C1512" t="inlineStr">
        <is>
          <t>Expense</t>
        </is>
      </c>
      <c r="D1512" t="inlineStr"/>
      <c r="E1512" t="inlineStr">
        <is>
          <t>Bluepeak Engineering</t>
        </is>
      </c>
      <c r="F1512" t="inlineStr">
        <is>
          <t>Bluepeak Engineering invoice 53296</t>
        </is>
      </c>
      <c r="G1512" t="inlineStr">
        <is>
          <t>1010</t>
        </is>
      </c>
      <c r="H1512" t="inlineStr">
        <is>
          <t>Northgate Checking 7742</t>
        </is>
      </c>
      <c r="I1512" t="inlineStr">
        <is>
          <t>Product</t>
        </is>
      </c>
      <c r="K1512">
        <f>1627.10</f>
        <v/>
      </c>
    </row>
    <row r="1513">
      <c r="A1513" t="inlineStr">
        <is>
          <t>Total for T-00315</t>
        </is>
      </c>
      <c r="J1513">
        <f>J1511</f>
        <v/>
      </c>
      <c r="K1513">
        <f>K1512</f>
        <v/>
      </c>
    </row>
    <row r="1514"/>
    <row r="1515">
      <c r="A1515" t="inlineStr">
        <is>
          <t>T-00316</t>
        </is>
      </c>
    </row>
    <row r="1516">
      <c r="B1516" t="inlineStr">
        <is>
          <t>07/05/2025</t>
        </is>
      </c>
      <c r="C1516" t="inlineStr">
        <is>
          <t>Expense</t>
        </is>
      </c>
      <c r="D1516" t="inlineStr"/>
      <c r="E1516" t="inlineStr">
        <is>
          <t>Northwind Supply</t>
        </is>
      </c>
      <c r="F1516" t="inlineStr">
        <is>
          <t>Northwind Supply invoice 89376</t>
        </is>
      </c>
      <c r="G1516" t="inlineStr">
        <is>
          <t>5000</t>
        </is>
      </c>
      <c r="H1516" t="inlineStr">
        <is>
          <t>Cost of Goods Sold - Components</t>
        </is>
      </c>
      <c r="I1516" t="inlineStr">
        <is>
          <t>Product</t>
        </is>
      </c>
      <c r="J1516">
        <f>837.78</f>
        <v/>
      </c>
    </row>
    <row r="1517">
      <c r="B1517" t="inlineStr">
        <is>
          <t>07/05/2025</t>
        </is>
      </c>
      <c r="C1517" t="inlineStr">
        <is>
          <t>Expense</t>
        </is>
      </c>
      <c r="D1517" t="inlineStr"/>
      <c r="E1517" t="inlineStr">
        <is>
          <t>Northwind Supply</t>
        </is>
      </c>
      <c r="F1517" t="inlineStr">
        <is>
          <t>Northwind Supply invoice 89376</t>
        </is>
      </c>
      <c r="G1517" t="inlineStr">
        <is>
          <t>1010</t>
        </is>
      </c>
      <c r="H1517" t="inlineStr">
        <is>
          <t>Northgate Checking 7742</t>
        </is>
      </c>
      <c r="I1517" t="inlineStr">
        <is>
          <t>Product</t>
        </is>
      </c>
      <c r="K1517">
        <f>837.78</f>
        <v/>
      </c>
    </row>
    <row r="1518">
      <c r="A1518" t="inlineStr">
        <is>
          <t>Total for T-00316</t>
        </is>
      </c>
      <c r="J1518">
        <f>J1516</f>
        <v/>
      </c>
      <c r="K1518">
        <f>K1517</f>
        <v/>
      </c>
    </row>
    <row r="1519"/>
    <row r="1520">
      <c r="A1520" t="inlineStr">
        <is>
          <t>T-00319</t>
        </is>
      </c>
    </row>
    <row r="1521">
      <c r="B1521" t="inlineStr">
        <is>
          <t>07/05/2025</t>
        </is>
      </c>
      <c r="C1521" t="inlineStr">
        <is>
          <t>Expense</t>
        </is>
      </c>
      <c r="D1521" t="inlineStr"/>
      <c r="E1521" t="inlineStr">
        <is>
          <t>Fabrikam Freight</t>
        </is>
      </c>
      <c r="F1521" t="inlineStr">
        <is>
          <t>Fabrikam Freight invoice 77054</t>
        </is>
      </c>
      <c r="G1521" t="inlineStr">
        <is>
          <t>5100</t>
        </is>
      </c>
      <c r="H1521" t="inlineStr">
        <is>
          <t>Shipping and Freight</t>
        </is>
      </c>
      <c r="I1521" t="inlineStr">
        <is>
          <t>Product</t>
        </is>
      </c>
      <c r="J1521">
        <f>230.89</f>
        <v/>
      </c>
    </row>
    <row r="1522">
      <c r="B1522" t="inlineStr">
        <is>
          <t>07/05/2025</t>
        </is>
      </c>
      <c r="C1522" t="inlineStr">
        <is>
          <t>Expense</t>
        </is>
      </c>
      <c r="D1522" t="inlineStr"/>
      <c r="E1522" t="inlineStr">
        <is>
          <t>Fabrikam Freight</t>
        </is>
      </c>
      <c r="F1522" t="inlineStr">
        <is>
          <t>Fabrikam Freight invoice 77054</t>
        </is>
      </c>
      <c r="G1522" t="inlineStr">
        <is>
          <t>1010</t>
        </is>
      </c>
      <c r="H1522" t="inlineStr">
        <is>
          <t>Northgate Checking 7742</t>
        </is>
      </c>
      <c r="I1522" t="inlineStr">
        <is>
          <t>Product</t>
        </is>
      </c>
      <c r="K1522">
        <f>230.89</f>
        <v/>
      </c>
    </row>
    <row r="1523">
      <c r="A1523" t="inlineStr">
        <is>
          <t>Total for T-00319</t>
        </is>
      </c>
      <c r="J1523">
        <f>J1521</f>
        <v/>
      </c>
      <c r="K1523">
        <f>K1522</f>
        <v/>
      </c>
    </row>
    <row r="1524"/>
    <row r="1525">
      <c r="A1525" t="inlineStr">
        <is>
          <t>T-00317</t>
        </is>
      </c>
    </row>
    <row r="1526">
      <c r="B1526" t="inlineStr">
        <is>
          <t>07/06/2025</t>
        </is>
      </c>
      <c r="C1526" t="inlineStr">
        <is>
          <t>Expense</t>
        </is>
      </c>
      <c r="D1526" t="inlineStr"/>
      <c r="E1526" t="inlineStr">
        <is>
          <t>Redwood Prototyping</t>
        </is>
      </c>
      <c r="F1526" t="inlineStr">
        <is>
          <t>Redwood Prototyping invoice 33964</t>
        </is>
      </c>
      <c r="G1526" t="inlineStr">
        <is>
          <t>6100</t>
        </is>
      </c>
      <c r="H1526" t="inlineStr">
        <is>
          <t>Contract Engineering</t>
        </is>
      </c>
      <c r="I1526" t="inlineStr">
        <is>
          <t>Product</t>
        </is>
      </c>
      <c r="J1526">
        <f>938.89</f>
        <v/>
      </c>
    </row>
    <row r="1527">
      <c r="B1527" t="inlineStr">
        <is>
          <t>07/06/2025</t>
        </is>
      </c>
      <c r="C1527" t="inlineStr">
        <is>
          <t>Expense</t>
        </is>
      </c>
      <c r="D1527" t="inlineStr"/>
      <c r="E1527" t="inlineStr">
        <is>
          <t>Redwood Prototyping</t>
        </is>
      </c>
      <c r="F1527" t="inlineStr">
        <is>
          <t>Redwood Prototyping invoice 33964</t>
        </is>
      </c>
      <c r="G1527" t="inlineStr">
        <is>
          <t>1010</t>
        </is>
      </c>
      <c r="H1527" t="inlineStr">
        <is>
          <t>Northgate Checking 7742</t>
        </is>
      </c>
      <c r="I1527" t="inlineStr">
        <is>
          <t>Product</t>
        </is>
      </c>
      <c r="K1527">
        <f>938.89</f>
        <v/>
      </c>
    </row>
    <row r="1528">
      <c r="A1528" t="inlineStr">
        <is>
          <t>Total for T-00317</t>
        </is>
      </c>
      <c r="J1528">
        <f>J1526</f>
        <v/>
      </c>
      <c r="K1528">
        <f>K1527</f>
        <v/>
      </c>
    </row>
    <row r="1529"/>
    <row r="1530">
      <c r="A1530" t="inlineStr">
        <is>
          <t>T-00338</t>
        </is>
      </c>
    </row>
    <row r="1531">
      <c r="B1531" t="inlineStr">
        <is>
          <t>07/06/2025</t>
        </is>
      </c>
      <c r="C1531" t="inlineStr">
        <is>
          <t>Expense</t>
        </is>
      </c>
      <c r="D1531" t="inlineStr"/>
      <c r="E1531" t="inlineStr">
        <is>
          <t>Fabrikam Freight</t>
        </is>
      </c>
      <c r="F1531" t="inlineStr">
        <is>
          <t>Fabrikam Freight invoice 90285</t>
        </is>
      </c>
      <c r="G1531" t="inlineStr">
        <is>
          <t>5100</t>
        </is>
      </c>
      <c r="H1531" t="inlineStr">
        <is>
          <t>Shipping and Freight</t>
        </is>
      </c>
      <c r="I1531" t="inlineStr">
        <is>
          <t>Product</t>
        </is>
      </c>
      <c r="J1531">
        <f>591.68</f>
        <v/>
      </c>
    </row>
    <row r="1532">
      <c r="B1532" t="inlineStr">
        <is>
          <t>07/06/2025</t>
        </is>
      </c>
      <c r="C1532" t="inlineStr">
        <is>
          <t>Expense</t>
        </is>
      </c>
      <c r="D1532" t="inlineStr"/>
      <c r="E1532" t="inlineStr">
        <is>
          <t>Fabrikam Freight</t>
        </is>
      </c>
      <c r="F1532" t="inlineStr">
        <is>
          <t>Fabrikam Freight invoice 90285</t>
        </is>
      </c>
      <c r="G1532" t="inlineStr">
        <is>
          <t>1010</t>
        </is>
      </c>
      <c r="H1532" t="inlineStr">
        <is>
          <t>Northgate Checking 7742</t>
        </is>
      </c>
      <c r="I1532" t="inlineStr">
        <is>
          <t>Product</t>
        </is>
      </c>
      <c r="K1532">
        <f>591.68</f>
        <v/>
      </c>
    </row>
    <row r="1533">
      <c r="A1533" t="inlineStr">
        <is>
          <t>Total for T-00338</t>
        </is>
      </c>
      <c r="J1533">
        <f>J1531</f>
        <v/>
      </c>
      <c r="K1533">
        <f>K1532</f>
        <v/>
      </c>
    </row>
    <row r="1534"/>
    <row r="1535">
      <c r="A1535" t="inlineStr">
        <is>
          <t>T-00328</t>
        </is>
      </c>
    </row>
    <row r="1536">
      <c r="B1536" t="inlineStr">
        <is>
          <t>07/07/2025</t>
        </is>
      </c>
      <c r="C1536" t="inlineStr">
        <is>
          <t>Credit Card Charge</t>
        </is>
      </c>
      <c r="D1536" t="inlineStr"/>
      <c r="E1536" t="inlineStr">
        <is>
          <t>Lumina Ads</t>
        </is>
      </c>
      <c r="F1536" t="inlineStr">
        <is>
          <t>Lumina Ads 2025-07</t>
        </is>
      </c>
      <c r="G1536" t="inlineStr">
        <is>
          <t>6600</t>
        </is>
      </c>
      <c r="H1536" t="inlineStr">
        <is>
          <t>Marketing and Advertising</t>
        </is>
      </c>
      <c r="I1536" t="inlineStr">
        <is>
          <t>Overhead</t>
        </is>
      </c>
      <c r="J1536">
        <f>550.57</f>
        <v/>
      </c>
    </row>
    <row r="1537">
      <c r="B1537" t="inlineStr">
        <is>
          <t>07/07/2025</t>
        </is>
      </c>
      <c r="C1537" t="inlineStr">
        <is>
          <t>Credit Card Charge</t>
        </is>
      </c>
      <c r="D1537" t="inlineStr"/>
      <c r="E1537" t="inlineStr">
        <is>
          <t>Lumina Ads</t>
        </is>
      </c>
      <c r="F1537" t="inlineStr">
        <is>
          <t>Lumina Ads 2025-07</t>
        </is>
      </c>
      <c r="H1537" t="inlineStr">
        <is>
          <t>Vantage Credit Card 3391</t>
        </is>
      </c>
      <c r="I1537" t="inlineStr">
        <is>
          <t>Overhead</t>
        </is>
      </c>
      <c r="K1537">
        <f>550.57</f>
        <v/>
      </c>
    </row>
    <row r="1538">
      <c r="A1538" t="inlineStr">
        <is>
          <t>Total for T-00328</t>
        </is>
      </c>
      <c r="J1538">
        <f>J1536</f>
        <v/>
      </c>
      <c r="K1538">
        <f>K1537</f>
        <v/>
      </c>
    </row>
    <row r="1539"/>
    <row r="1540">
      <c r="A1540" t="inlineStr">
        <is>
          <t>T-00339</t>
        </is>
      </c>
    </row>
    <row r="1541">
      <c r="B1541" t="inlineStr">
        <is>
          <t>07/07/2025</t>
        </is>
      </c>
      <c r="C1541" t="inlineStr">
        <is>
          <t>Credit Card Charge</t>
        </is>
      </c>
      <c r="D1541" t="inlineStr"/>
      <c r="E1541" t="inlineStr">
        <is>
          <t>Lumina Ads</t>
        </is>
      </c>
      <c r="F1541" t="inlineStr">
        <is>
          <t>Lumina Ads 2025-07</t>
        </is>
      </c>
      <c r="G1541" t="inlineStr">
        <is>
          <t>6600</t>
        </is>
      </c>
      <c r="H1541" t="inlineStr">
        <is>
          <t>Marketing and Advertising</t>
        </is>
      </c>
      <c r="I1541" t="inlineStr">
        <is>
          <t>Overhead</t>
        </is>
      </c>
      <c r="J1541">
        <f>1784.34</f>
        <v/>
      </c>
    </row>
    <row r="1542">
      <c r="B1542" t="inlineStr">
        <is>
          <t>07/07/2025</t>
        </is>
      </c>
      <c r="C1542" t="inlineStr">
        <is>
          <t>Credit Card Charge</t>
        </is>
      </c>
      <c r="D1542" t="inlineStr"/>
      <c r="E1542" t="inlineStr">
        <is>
          <t>Lumina Ads</t>
        </is>
      </c>
      <c r="F1542" t="inlineStr">
        <is>
          <t>Lumina Ads 2025-07</t>
        </is>
      </c>
      <c r="H1542" t="inlineStr">
        <is>
          <t>Vantage Credit Card 3391</t>
        </is>
      </c>
      <c r="I1542" t="inlineStr">
        <is>
          <t>Overhead</t>
        </is>
      </c>
      <c r="K1542">
        <f>1784.34</f>
        <v/>
      </c>
    </row>
    <row r="1543">
      <c r="A1543" t="inlineStr">
        <is>
          <t>Total for T-00339</t>
        </is>
      </c>
      <c r="J1543">
        <f>J1541</f>
        <v/>
      </c>
      <c r="K1543">
        <f>K1542</f>
        <v/>
      </c>
    </row>
    <row r="1544"/>
    <row r="1545">
      <c r="A1545" t="inlineStr">
        <is>
          <t>T-00321</t>
        </is>
      </c>
    </row>
    <row r="1546">
      <c r="B1546" t="inlineStr">
        <is>
          <t>07/08/2025</t>
        </is>
      </c>
      <c r="C1546" t="inlineStr">
        <is>
          <t>Credit Card Charge</t>
        </is>
      </c>
      <c r="D1546" t="inlineStr"/>
      <c r="E1546" t="inlineStr">
        <is>
          <t>Cascade Office</t>
        </is>
      </c>
      <c r="F1546" t="inlineStr">
        <is>
          <t>Cascade Office 2025-07</t>
        </is>
      </c>
      <c r="G1546" t="inlineStr">
        <is>
          <t>6700</t>
        </is>
      </c>
      <c r="H1546" t="inlineStr">
        <is>
          <t>Office Supplies</t>
        </is>
      </c>
      <c r="I1546" t="inlineStr">
        <is>
          <t>Overhead</t>
        </is>
      </c>
      <c r="J1546">
        <f>203.02</f>
        <v/>
      </c>
    </row>
    <row r="1547">
      <c r="B1547" t="inlineStr">
        <is>
          <t>07/08/2025</t>
        </is>
      </c>
      <c r="C1547" t="inlineStr">
        <is>
          <t>Credit Card Charge</t>
        </is>
      </c>
      <c r="D1547" t="inlineStr"/>
      <c r="E1547" t="inlineStr">
        <is>
          <t>Cascade Office</t>
        </is>
      </c>
      <c r="F1547" t="inlineStr">
        <is>
          <t>Cascade Office 2025-07</t>
        </is>
      </c>
      <c r="H1547" t="inlineStr">
        <is>
          <t>Vantage Credit Card 3391</t>
        </is>
      </c>
      <c r="I1547" t="inlineStr">
        <is>
          <t>Overhead</t>
        </is>
      </c>
      <c r="K1547">
        <f>203.02</f>
        <v/>
      </c>
    </row>
    <row r="1548">
      <c r="A1548" t="inlineStr">
        <is>
          <t>Total for T-00321</t>
        </is>
      </c>
      <c r="J1548">
        <f>J1546</f>
        <v/>
      </c>
      <c r="K1548">
        <f>K1547</f>
        <v/>
      </c>
    </row>
    <row r="1549"/>
    <row r="1550">
      <c r="A1550" t="inlineStr">
        <is>
          <t>T-00323</t>
        </is>
      </c>
    </row>
    <row r="1551">
      <c r="B1551" t="inlineStr">
        <is>
          <t>07/08/2025</t>
        </is>
      </c>
      <c r="C1551" t="inlineStr">
        <is>
          <t>Expense</t>
        </is>
      </c>
      <c r="D1551" t="inlineStr"/>
      <c r="E1551" t="inlineStr">
        <is>
          <t>Redwood Prototyping</t>
        </is>
      </c>
      <c r="F1551" t="inlineStr">
        <is>
          <t>Redwood Prototyping invoice 96889</t>
        </is>
      </c>
      <c r="G1551" t="inlineStr">
        <is>
          <t>6100</t>
        </is>
      </c>
      <c r="H1551" t="inlineStr">
        <is>
          <t>Contract Engineering</t>
        </is>
      </c>
      <c r="I1551" t="inlineStr">
        <is>
          <t>Product</t>
        </is>
      </c>
      <c r="J1551">
        <f>403.86</f>
        <v/>
      </c>
    </row>
    <row r="1552">
      <c r="B1552" t="inlineStr">
        <is>
          <t>07/08/2025</t>
        </is>
      </c>
      <c r="C1552" t="inlineStr">
        <is>
          <t>Expense</t>
        </is>
      </c>
      <c r="D1552" t="inlineStr"/>
      <c r="E1552" t="inlineStr">
        <is>
          <t>Redwood Prototyping</t>
        </is>
      </c>
      <c r="F1552" t="inlineStr">
        <is>
          <t>Redwood Prototyping invoice 96889</t>
        </is>
      </c>
      <c r="G1552" t="inlineStr">
        <is>
          <t>1010</t>
        </is>
      </c>
      <c r="H1552" t="inlineStr">
        <is>
          <t>Northgate Checking 7742</t>
        </is>
      </c>
      <c r="I1552" t="inlineStr">
        <is>
          <t>Product</t>
        </is>
      </c>
      <c r="K1552">
        <f>403.86</f>
        <v/>
      </c>
    </row>
    <row r="1553">
      <c r="A1553" t="inlineStr">
        <is>
          <t>Total for T-00323</t>
        </is>
      </c>
      <c r="J1553">
        <f>J1551</f>
        <v/>
      </c>
      <c r="K1553">
        <f>K1552</f>
        <v/>
      </c>
    </row>
    <row r="1554"/>
    <row r="1555">
      <c r="A1555" t="inlineStr">
        <is>
          <t>T-00307</t>
        </is>
      </c>
    </row>
    <row r="1556">
      <c r="B1556" t="inlineStr">
        <is>
          <t>07/09/2025</t>
        </is>
      </c>
      <c r="C1556" t="inlineStr">
        <is>
          <t>Credit Card Charge</t>
        </is>
      </c>
      <c r="D1556" t="inlineStr"/>
      <c r="E1556" t="inlineStr">
        <is>
          <t>Tailspin Tools</t>
        </is>
      </c>
      <c r="F1556" t="inlineStr">
        <is>
          <t>Tailspin Tools 2025-07</t>
        </is>
      </c>
      <c r="G1556" t="inlineStr">
        <is>
          <t>6200</t>
        </is>
      </c>
      <c r="H1556" t="inlineStr">
        <is>
          <t>Software Subscriptions</t>
        </is>
      </c>
      <c r="I1556" t="inlineStr">
        <is>
          <t>Overhead</t>
        </is>
      </c>
      <c r="J1556">
        <f>314.88</f>
        <v/>
      </c>
    </row>
    <row r="1557">
      <c r="B1557" t="inlineStr">
        <is>
          <t>07/09/2025</t>
        </is>
      </c>
      <c r="C1557" t="inlineStr">
        <is>
          <t>Credit Card Charge</t>
        </is>
      </c>
      <c r="D1557" t="inlineStr"/>
      <c r="E1557" t="inlineStr">
        <is>
          <t>Tailspin Tools</t>
        </is>
      </c>
      <c r="F1557" t="inlineStr">
        <is>
          <t>Tailspin Tools 2025-07</t>
        </is>
      </c>
      <c r="H1557" t="inlineStr">
        <is>
          <t>Vantage Credit Card 3391</t>
        </is>
      </c>
      <c r="I1557" t="inlineStr">
        <is>
          <t>Overhead</t>
        </is>
      </c>
      <c r="K1557">
        <f>314.88</f>
        <v/>
      </c>
    </row>
    <row r="1558">
      <c r="A1558" t="inlineStr">
        <is>
          <t>Total for T-00307</t>
        </is>
      </c>
      <c r="J1558">
        <f>J1556</f>
        <v/>
      </c>
      <c r="K1558">
        <f>K1557</f>
        <v/>
      </c>
    </row>
    <row r="1559"/>
    <row r="1560">
      <c r="A1560" t="inlineStr">
        <is>
          <t>T-00308</t>
        </is>
      </c>
    </row>
    <row r="1561">
      <c r="B1561" t="inlineStr">
        <is>
          <t>07/09/2025</t>
        </is>
      </c>
      <c r="C1561" t="inlineStr">
        <is>
          <t>Credit Card Charge</t>
        </is>
      </c>
      <c r="D1561" t="inlineStr"/>
      <c r="E1561" t="inlineStr">
        <is>
          <t>Cascade Office</t>
        </is>
      </c>
      <c r="F1561" t="inlineStr">
        <is>
          <t>Cascade Office 2025-07</t>
        </is>
      </c>
      <c r="G1561" t="inlineStr">
        <is>
          <t>6700</t>
        </is>
      </c>
      <c r="H1561" t="inlineStr">
        <is>
          <t>Office Supplies</t>
        </is>
      </c>
      <c r="I1561" t="inlineStr">
        <is>
          <t>Overhead</t>
        </is>
      </c>
      <c r="J1561">
        <f>431.71</f>
        <v/>
      </c>
    </row>
    <row r="1562">
      <c r="B1562" t="inlineStr">
        <is>
          <t>07/09/2025</t>
        </is>
      </c>
      <c r="C1562" t="inlineStr">
        <is>
          <t>Credit Card Charge</t>
        </is>
      </c>
      <c r="D1562" t="inlineStr"/>
      <c r="E1562" t="inlineStr">
        <is>
          <t>Cascade Office</t>
        </is>
      </c>
      <c r="F1562" t="inlineStr">
        <is>
          <t>Cascade Office 2025-07</t>
        </is>
      </c>
      <c r="H1562" t="inlineStr">
        <is>
          <t>Vantage Credit Card 3391</t>
        </is>
      </c>
      <c r="I1562" t="inlineStr">
        <is>
          <t>Overhead</t>
        </is>
      </c>
      <c r="K1562">
        <f>431.71</f>
        <v/>
      </c>
    </row>
    <row r="1563">
      <c r="A1563" t="inlineStr">
        <is>
          <t>Total for T-00308</t>
        </is>
      </c>
      <c r="J1563">
        <f>J1561</f>
        <v/>
      </c>
      <c r="K1563">
        <f>K1562</f>
        <v/>
      </c>
    </row>
    <row r="1564"/>
    <row r="1565">
      <c r="A1565" t="inlineStr">
        <is>
          <t>T-00292</t>
        </is>
      </c>
    </row>
    <row r="1566">
      <c r="B1566" t="inlineStr">
        <is>
          <t>07/10/2025</t>
        </is>
      </c>
      <c r="C1566" t="inlineStr">
        <is>
          <t>Invoice</t>
        </is>
      </c>
      <c r="D1566" t="inlineStr">
        <is>
          <t>INV-1012</t>
        </is>
      </c>
      <c r="E1566" t="inlineStr">
        <is>
          <t>Meridian Automation Co</t>
        </is>
      </c>
      <c r="F1566" t="inlineStr">
        <is>
          <t>INV-1012 robot cell</t>
        </is>
      </c>
      <c r="G1566" t="inlineStr">
        <is>
          <t>1100</t>
        </is>
      </c>
      <c r="H1566" t="inlineStr">
        <is>
          <t>Accounts Receivable</t>
        </is>
      </c>
      <c r="I1566" t="inlineStr">
        <is>
          <t>Product</t>
        </is>
      </c>
      <c r="J1566">
        <f>41415.68</f>
        <v/>
      </c>
    </row>
    <row r="1567">
      <c r="B1567" t="inlineStr">
        <is>
          <t>07/10/2025</t>
        </is>
      </c>
      <c r="C1567" t="inlineStr">
        <is>
          <t>Invoice</t>
        </is>
      </c>
      <c r="D1567" t="inlineStr">
        <is>
          <t>INV-1012</t>
        </is>
      </c>
      <c r="E1567" t="inlineStr">
        <is>
          <t>Meridian Automation Co</t>
        </is>
      </c>
      <c r="F1567" t="inlineStr">
        <is>
          <t>INV-1012 robot cell</t>
        </is>
      </c>
      <c r="G1567" t="inlineStr">
        <is>
          <t>4000</t>
        </is>
      </c>
      <c r="H1567" t="inlineStr">
        <is>
          <t>Product Revenue</t>
        </is>
      </c>
      <c r="I1567" t="inlineStr">
        <is>
          <t>Product</t>
        </is>
      </c>
      <c r="K1567">
        <f>41415.68</f>
        <v/>
      </c>
    </row>
    <row r="1568">
      <c r="A1568" t="inlineStr">
        <is>
          <t>Total for T-00292</t>
        </is>
      </c>
      <c r="J1568">
        <f>J1566</f>
        <v/>
      </c>
      <c r="K1568">
        <f>K1567</f>
        <v/>
      </c>
    </row>
    <row r="1569"/>
    <row r="1570">
      <c r="A1570" t="inlineStr">
        <is>
          <t>T-00293</t>
        </is>
      </c>
    </row>
    <row r="1571">
      <c r="B1571" t="inlineStr">
        <is>
          <t>07/10/2025</t>
        </is>
      </c>
      <c r="C1571" t="inlineStr">
        <is>
          <t>Invoice</t>
        </is>
      </c>
      <c r="D1571" t="inlineStr">
        <is>
          <t>INV-1013</t>
        </is>
      </c>
      <c r="E1571" t="inlineStr">
        <is>
          <t>Meridian Automation Co</t>
        </is>
      </c>
      <c r="F1571" t="inlineStr">
        <is>
          <t>INV-1013 support plan</t>
        </is>
      </c>
      <c r="G1571" t="inlineStr">
        <is>
          <t>1100</t>
        </is>
      </c>
      <c r="H1571" t="inlineStr">
        <is>
          <t>Accounts Receivable</t>
        </is>
      </c>
      <c r="I1571" t="inlineStr">
        <is>
          <t>Services</t>
        </is>
      </c>
      <c r="J1571">
        <f>8000.00</f>
        <v/>
      </c>
    </row>
    <row r="1572">
      <c r="B1572" t="inlineStr">
        <is>
          <t>07/10/2025</t>
        </is>
      </c>
      <c r="C1572" t="inlineStr">
        <is>
          <t>Invoice</t>
        </is>
      </c>
      <c r="D1572" t="inlineStr">
        <is>
          <t>INV-1013</t>
        </is>
      </c>
      <c r="E1572" t="inlineStr">
        <is>
          <t>Meridian Automation Co</t>
        </is>
      </c>
      <c r="F1572" t="inlineStr">
        <is>
          <t>INV-1013 support plan</t>
        </is>
      </c>
      <c r="G1572" t="inlineStr">
        <is>
          <t>4100</t>
        </is>
      </c>
      <c r="H1572" t="inlineStr">
        <is>
          <t>Service Revenue</t>
        </is>
      </c>
      <c r="I1572" t="inlineStr">
        <is>
          <t>Services</t>
        </is>
      </c>
      <c r="K1572">
        <f>8000.00</f>
        <v/>
      </c>
    </row>
    <row r="1573">
      <c r="A1573" t="inlineStr">
        <is>
          <t>Total for T-00293</t>
        </is>
      </c>
      <c r="J1573">
        <f>J1571</f>
        <v/>
      </c>
      <c r="K1573">
        <f>K1572</f>
        <v/>
      </c>
    </row>
    <row r="1574"/>
    <row r="1575">
      <c r="A1575" t="inlineStr">
        <is>
          <t>T-00294</t>
        </is>
      </c>
    </row>
    <row r="1576">
      <c r="B1576" t="inlineStr">
        <is>
          <t>07/10/2025</t>
        </is>
      </c>
      <c r="C1576" t="inlineStr">
        <is>
          <t>Payment</t>
        </is>
      </c>
      <c r="D1576" t="inlineStr"/>
      <c r="E1576" t="inlineStr">
        <is>
          <t>Helios Manufacturing LLC</t>
        </is>
      </c>
      <c r="F1576" t="inlineStr">
        <is>
          <t>Payment on INV-1010</t>
        </is>
      </c>
      <c r="G1576" t="inlineStr">
        <is>
          <t>1010</t>
        </is>
      </c>
      <c r="H1576" t="inlineStr">
        <is>
          <t>Northgate Checking 7742</t>
        </is>
      </c>
      <c r="I1576" t="inlineStr">
        <is>
          <t>Overhead</t>
        </is>
      </c>
      <c r="J1576">
        <f>40356.02</f>
        <v/>
      </c>
    </row>
    <row r="1577">
      <c r="B1577" t="inlineStr">
        <is>
          <t>07/10/2025</t>
        </is>
      </c>
      <c r="C1577" t="inlineStr">
        <is>
          <t>Payment</t>
        </is>
      </c>
      <c r="D1577" t="inlineStr"/>
      <c r="E1577" t="inlineStr">
        <is>
          <t>Helios Manufacturing LLC</t>
        </is>
      </c>
      <c r="F1577" t="inlineStr">
        <is>
          <t>Payment on INV-1010</t>
        </is>
      </c>
      <c r="G1577" t="inlineStr">
        <is>
          <t>1100</t>
        </is>
      </c>
      <c r="H1577" t="inlineStr">
        <is>
          <t>Accounts Receivable</t>
        </is>
      </c>
      <c r="I1577" t="inlineStr">
        <is>
          <t>Overhead</t>
        </is>
      </c>
      <c r="K1577">
        <f>40356.02</f>
        <v/>
      </c>
    </row>
    <row r="1578">
      <c r="A1578" t="inlineStr">
        <is>
          <t>Total for T-00294</t>
        </is>
      </c>
      <c r="J1578">
        <f>J1576</f>
        <v/>
      </c>
      <c r="K1578">
        <f>K1577</f>
        <v/>
      </c>
    </row>
    <row r="1579"/>
    <row r="1580">
      <c r="A1580" t="inlineStr">
        <is>
          <t>T-00295</t>
        </is>
      </c>
    </row>
    <row r="1581">
      <c r="B1581" t="inlineStr">
        <is>
          <t>07/10/2025</t>
        </is>
      </c>
      <c r="C1581" t="inlineStr">
        <is>
          <t>Payment</t>
        </is>
      </c>
      <c r="D1581" t="inlineStr"/>
      <c r="E1581" t="inlineStr">
        <is>
          <t>Helios Manufacturing LLC</t>
        </is>
      </c>
      <c r="F1581" t="inlineStr">
        <is>
          <t>Payment on INV-1011</t>
        </is>
      </c>
      <c r="G1581" t="inlineStr">
        <is>
          <t>1010</t>
        </is>
      </c>
      <c r="H1581" t="inlineStr">
        <is>
          <t>Northgate Checking 7742</t>
        </is>
      </c>
      <c r="I1581" t="inlineStr">
        <is>
          <t>Overhead</t>
        </is>
      </c>
      <c r="J1581">
        <f>7750.00</f>
        <v/>
      </c>
    </row>
    <row r="1582">
      <c r="B1582" t="inlineStr">
        <is>
          <t>07/10/2025</t>
        </is>
      </c>
      <c r="C1582" t="inlineStr">
        <is>
          <t>Payment</t>
        </is>
      </c>
      <c r="D1582" t="inlineStr"/>
      <c r="E1582" t="inlineStr">
        <is>
          <t>Helios Manufacturing LLC</t>
        </is>
      </c>
      <c r="F1582" t="inlineStr">
        <is>
          <t>Payment on INV-1011</t>
        </is>
      </c>
      <c r="G1582" t="inlineStr">
        <is>
          <t>1100</t>
        </is>
      </c>
      <c r="H1582" t="inlineStr">
        <is>
          <t>Accounts Receivable</t>
        </is>
      </c>
      <c r="I1582" t="inlineStr">
        <is>
          <t>Overhead</t>
        </is>
      </c>
      <c r="K1582">
        <f>7750.00</f>
        <v/>
      </c>
    </row>
    <row r="1583">
      <c r="A1583" t="inlineStr">
        <is>
          <t>Total for T-00295</t>
        </is>
      </c>
      <c r="J1583">
        <f>J1581</f>
        <v/>
      </c>
      <c r="K1583">
        <f>K1582</f>
        <v/>
      </c>
    </row>
    <row r="1584"/>
    <row r="1585">
      <c r="A1585" t="inlineStr">
        <is>
          <t>T-00332</t>
        </is>
      </c>
    </row>
    <row r="1586">
      <c r="B1586" t="inlineStr">
        <is>
          <t>07/10/2025</t>
        </is>
      </c>
      <c r="C1586" t="inlineStr">
        <is>
          <t>Expense</t>
        </is>
      </c>
      <c r="D1586" t="inlineStr"/>
      <c r="E1586" t="inlineStr">
        <is>
          <t>Fabrikam Freight</t>
        </is>
      </c>
      <c r="F1586" t="inlineStr">
        <is>
          <t>Fabrikam Freight invoice 30035</t>
        </is>
      </c>
      <c r="G1586" t="inlineStr">
        <is>
          <t>5100</t>
        </is>
      </c>
      <c r="H1586" t="inlineStr">
        <is>
          <t>Shipping and Freight</t>
        </is>
      </c>
      <c r="I1586" t="inlineStr">
        <is>
          <t>Product</t>
        </is>
      </c>
      <c r="J1586">
        <f>488.51</f>
        <v/>
      </c>
    </row>
    <row r="1587">
      <c r="B1587" t="inlineStr">
        <is>
          <t>07/10/2025</t>
        </is>
      </c>
      <c r="C1587" t="inlineStr">
        <is>
          <t>Expense</t>
        </is>
      </c>
      <c r="D1587" t="inlineStr"/>
      <c r="E1587" t="inlineStr">
        <is>
          <t>Fabrikam Freight</t>
        </is>
      </c>
      <c r="F1587" t="inlineStr">
        <is>
          <t>Fabrikam Freight invoice 30035</t>
        </is>
      </c>
      <c r="G1587" t="inlineStr">
        <is>
          <t>1010</t>
        </is>
      </c>
      <c r="H1587" t="inlineStr">
        <is>
          <t>Northgate Checking 7742</t>
        </is>
      </c>
      <c r="I1587" t="inlineStr">
        <is>
          <t>Product</t>
        </is>
      </c>
      <c r="K1587">
        <f>488.51</f>
        <v/>
      </c>
    </row>
    <row r="1588">
      <c r="A1588" t="inlineStr">
        <is>
          <t>Total for T-00332</t>
        </is>
      </c>
      <c r="J1588">
        <f>J1586</f>
        <v/>
      </c>
      <c r="K1588">
        <f>K1587</f>
        <v/>
      </c>
    </row>
    <row r="1589"/>
    <row r="1590">
      <c r="A1590" t="inlineStr">
        <is>
          <t>T-00340</t>
        </is>
      </c>
    </row>
    <row r="1591">
      <c r="B1591" t="inlineStr">
        <is>
          <t>07/10/2025</t>
        </is>
      </c>
      <c r="C1591" t="inlineStr">
        <is>
          <t>Expense</t>
        </is>
      </c>
      <c r="D1591" t="inlineStr"/>
      <c r="E1591" t="inlineStr">
        <is>
          <t>Fabrikam Freight</t>
        </is>
      </c>
      <c r="F1591" t="inlineStr">
        <is>
          <t>Fabrikam Freight invoice 81571</t>
        </is>
      </c>
      <c r="G1591" t="inlineStr">
        <is>
          <t>5100</t>
        </is>
      </c>
      <c r="H1591" t="inlineStr">
        <is>
          <t>Shipping and Freight</t>
        </is>
      </c>
      <c r="I1591" t="inlineStr">
        <is>
          <t>Product</t>
        </is>
      </c>
      <c r="J1591">
        <f>229.32</f>
        <v/>
      </c>
    </row>
    <row r="1592">
      <c r="B1592" t="inlineStr">
        <is>
          <t>07/10/2025</t>
        </is>
      </c>
      <c r="C1592" t="inlineStr">
        <is>
          <t>Expense</t>
        </is>
      </c>
      <c r="D1592" t="inlineStr"/>
      <c r="E1592" t="inlineStr">
        <is>
          <t>Fabrikam Freight</t>
        </is>
      </c>
      <c r="F1592" t="inlineStr">
        <is>
          <t>Fabrikam Freight invoice 81571</t>
        </is>
      </c>
      <c r="G1592" t="inlineStr">
        <is>
          <t>1010</t>
        </is>
      </c>
      <c r="H1592" t="inlineStr">
        <is>
          <t>Northgate Checking 7742</t>
        </is>
      </c>
      <c r="I1592" t="inlineStr">
        <is>
          <t>Product</t>
        </is>
      </c>
      <c r="K1592">
        <f>229.32</f>
        <v/>
      </c>
    </row>
    <row r="1593">
      <c r="A1593" t="inlineStr">
        <is>
          <t>Total for T-00340</t>
        </is>
      </c>
      <c r="J1593">
        <f>J1591</f>
        <v/>
      </c>
      <c r="K1593">
        <f>K1592</f>
        <v/>
      </c>
    </row>
    <row r="1594"/>
    <row r="1595">
      <c r="A1595" t="inlineStr">
        <is>
          <t>T-00327</t>
        </is>
      </c>
    </row>
    <row r="1596">
      <c r="B1596" t="inlineStr">
        <is>
          <t>07/11/2025</t>
        </is>
      </c>
      <c r="C1596" t="inlineStr">
        <is>
          <t>Credit Card Charge</t>
        </is>
      </c>
      <c r="D1596" t="inlineStr"/>
      <c r="E1596" t="inlineStr">
        <is>
          <t>Contoso Cloud</t>
        </is>
      </c>
      <c r="F1596" t="inlineStr">
        <is>
          <t>Contoso Cloud 2025-07</t>
        </is>
      </c>
      <c r="G1596" t="inlineStr">
        <is>
          <t>6300</t>
        </is>
      </c>
      <c r="H1596" t="inlineStr">
        <is>
          <t>Cloud Hosting</t>
        </is>
      </c>
      <c r="I1596" t="inlineStr">
        <is>
          <t>Services</t>
        </is>
      </c>
      <c r="J1596">
        <f>865.69</f>
        <v/>
      </c>
    </row>
    <row r="1597">
      <c r="B1597" t="inlineStr">
        <is>
          <t>07/11/2025</t>
        </is>
      </c>
      <c r="C1597" t="inlineStr">
        <is>
          <t>Credit Card Charge</t>
        </is>
      </c>
      <c r="D1597" t="inlineStr"/>
      <c r="E1597" t="inlineStr">
        <is>
          <t>Contoso Cloud</t>
        </is>
      </c>
      <c r="F1597" t="inlineStr">
        <is>
          <t>Contoso Cloud 2025-07</t>
        </is>
      </c>
      <c r="H1597" t="inlineStr">
        <is>
          <t>Vantage Credit Card 3391</t>
        </is>
      </c>
      <c r="I1597" t="inlineStr">
        <is>
          <t>Services</t>
        </is>
      </c>
      <c r="K1597">
        <f>865.69</f>
        <v/>
      </c>
    </row>
    <row r="1598">
      <c r="A1598" t="inlineStr">
        <is>
          <t>Total for T-00327</t>
        </is>
      </c>
      <c r="J1598">
        <f>J1596</f>
        <v/>
      </c>
      <c r="K1598">
        <f>K1597</f>
        <v/>
      </c>
    </row>
    <row r="1599"/>
    <row r="1600">
      <c r="A1600" t="inlineStr">
        <is>
          <t>T-00296</t>
        </is>
      </c>
    </row>
    <row r="1601">
      <c r="B1601" t="inlineStr">
        <is>
          <t>07/12/2025</t>
        </is>
      </c>
      <c r="C1601" t="inlineStr">
        <is>
          <t>Bill Payment</t>
        </is>
      </c>
      <c r="D1601" t="inlineStr"/>
      <c r="E1601" t="inlineStr">
        <is>
          <t>Northwind Supply</t>
        </is>
      </c>
      <c r="F1601" t="inlineStr">
        <is>
          <t>Payment on NWS-4405</t>
        </is>
      </c>
      <c r="G1601" t="inlineStr">
        <is>
          <t>2010</t>
        </is>
      </c>
      <c r="H1601" t="inlineStr">
        <is>
          <t>Accounts Payable</t>
        </is>
      </c>
      <c r="I1601" t="inlineStr">
        <is>
          <t>Product</t>
        </is>
      </c>
      <c r="J1601">
        <f>12296.55</f>
        <v/>
      </c>
    </row>
    <row r="1602">
      <c r="B1602" t="inlineStr">
        <is>
          <t>07/12/2025</t>
        </is>
      </c>
      <c r="C1602" t="inlineStr">
        <is>
          <t>Bill Payment</t>
        </is>
      </c>
      <c r="D1602" t="inlineStr"/>
      <c r="E1602" t="inlineStr">
        <is>
          <t>Northwind Supply</t>
        </is>
      </c>
      <c r="F1602" t="inlineStr">
        <is>
          <t>Payment on NWS-4405</t>
        </is>
      </c>
      <c r="G1602" t="inlineStr">
        <is>
          <t>1010</t>
        </is>
      </c>
      <c r="H1602" t="inlineStr">
        <is>
          <t>Northgate Checking 7742</t>
        </is>
      </c>
      <c r="I1602" t="inlineStr">
        <is>
          <t>Product</t>
        </is>
      </c>
      <c r="K1602">
        <f>12296.55</f>
        <v/>
      </c>
    </row>
    <row r="1603">
      <c r="A1603" t="inlineStr">
        <is>
          <t>Total for T-00296</t>
        </is>
      </c>
      <c r="J1603">
        <f>J1601</f>
        <v/>
      </c>
      <c r="K1603">
        <f>K1602</f>
        <v/>
      </c>
    </row>
    <row r="1604"/>
    <row r="1605">
      <c r="A1605" t="inlineStr">
        <is>
          <t>T-00304</t>
        </is>
      </c>
    </row>
    <row r="1606">
      <c r="B1606" t="inlineStr">
        <is>
          <t>07/12/2025</t>
        </is>
      </c>
      <c r="C1606" t="inlineStr">
        <is>
          <t>Credit Card Charge</t>
        </is>
      </c>
      <c r="D1606" t="inlineStr"/>
      <c r="E1606" t="inlineStr">
        <is>
          <t>Metro Rideshare</t>
        </is>
      </c>
      <c r="F1606" t="inlineStr">
        <is>
          <t>Metro Rideshare 2025-07</t>
        </is>
      </c>
      <c r="G1606" t="inlineStr">
        <is>
          <t>6900</t>
        </is>
      </c>
      <c r="H1606" t="inlineStr">
        <is>
          <t>Travel and Meals</t>
        </is>
      </c>
      <c r="I1606" t="inlineStr">
        <is>
          <t>Overhead</t>
        </is>
      </c>
      <c r="J1606">
        <f>32.58</f>
        <v/>
      </c>
    </row>
    <row r="1607">
      <c r="B1607" t="inlineStr">
        <is>
          <t>07/12/2025</t>
        </is>
      </c>
      <c r="C1607" t="inlineStr">
        <is>
          <t>Credit Card Charge</t>
        </is>
      </c>
      <c r="D1607" t="inlineStr"/>
      <c r="E1607" t="inlineStr">
        <is>
          <t>Metro Rideshare</t>
        </is>
      </c>
      <c r="F1607" t="inlineStr">
        <is>
          <t>Metro Rideshare 2025-07</t>
        </is>
      </c>
      <c r="H1607" t="inlineStr">
        <is>
          <t>Vantage Credit Card 3391</t>
        </is>
      </c>
      <c r="I1607" t="inlineStr">
        <is>
          <t>Overhead</t>
        </is>
      </c>
      <c r="K1607">
        <f>32.58</f>
        <v/>
      </c>
    </row>
    <row r="1608">
      <c r="A1608" t="inlineStr">
        <is>
          <t>Total for T-00304</t>
        </is>
      </c>
      <c r="J1608">
        <f>J1606</f>
        <v/>
      </c>
      <c r="K1608">
        <f>K1607</f>
        <v/>
      </c>
    </row>
    <row r="1609"/>
    <row r="1610">
      <c r="A1610" t="inlineStr">
        <is>
          <t>T-00318</t>
        </is>
      </c>
    </row>
    <row r="1611">
      <c r="B1611" t="inlineStr">
        <is>
          <t>07/12/2025</t>
        </is>
      </c>
      <c r="C1611" t="inlineStr">
        <is>
          <t>Expense</t>
        </is>
      </c>
      <c r="D1611" t="inlineStr"/>
      <c r="E1611" t="inlineStr">
        <is>
          <t>Northwind Supply</t>
        </is>
      </c>
      <c r="F1611" t="inlineStr">
        <is>
          <t>Northwind Supply invoice 36272</t>
        </is>
      </c>
      <c r="G1611" t="inlineStr">
        <is>
          <t>5000</t>
        </is>
      </c>
      <c r="H1611" t="inlineStr">
        <is>
          <t>Cost of Goods Sold - Components</t>
        </is>
      </c>
      <c r="I1611" t="inlineStr">
        <is>
          <t>Product</t>
        </is>
      </c>
      <c r="J1611">
        <f>1183.69</f>
        <v/>
      </c>
    </row>
    <row r="1612">
      <c r="B1612" t="inlineStr">
        <is>
          <t>07/12/2025</t>
        </is>
      </c>
      <c r="C1612" t="inlineStr">
        <is>
          <t>Expense</t>
        </is>
      </c>
      <c r="D1612" t="inlineStr"/>
      <c r="E1612" t="inlineStr">
        <is>
          <t>Northwind Supply</t>
        </is>
      </c>
      <c r="F1612" t="inlineStr">
        <is>
          <t>Northwind Supply invoice 36272</t>
        </is>
      </c>
      <c r="G1612" t="inlineStr">
        <is>
          <t>1010</t>
        </is>
      </c>
      <c r="H1612" t="inlineStr">
        <is>
          <t>Northgate Checking 7742</t>
        </is>
      </c>
      <c r="I1612" t="inlineStr">
        <is>
          <t>Product</t>
        </is>
      </c>
      <c r="K1612">
        <f>1183.69</f>
        <v/>
      </c>
    </row>
    <row r="1613">
      <c r="A1613" t="inlineStr">
        <is>
          <t>Total for T-00318</t>
        </is>
      </c>
      <c r="J1613">
        <f>J1611</f>
        <v/>
      </c>
      <c r="K1613">
        <f>K1612</f>
        <v/>
      </c>
    </row>
    <row r="1614"/>
    <row r="1615">
      <c r="A1615" t="inlineStr">
        <is>
          <t>T-00322</t>
        </is>
      </c>
    </row>
    <row r="1616">
      <c r="B1616" t="inlineStr">
        <is>
          <t>07/12/2025</t>
        </is>
      </c>
      <c r="C1616" t="inlineStr">
        <is>
          <t>Credit Card Charge</t>
        </is>
      </c>
      <c r="D1616" t="inlineStr"/>
      <c r="E1616" t="inlineStr">
        <is>
          <t>Contoso Cloud</t>
        </is>
      </c>
      <c r="F1616" t="inlineStr">
        <is>
          <t>Contoso Cloud 2025-07</t>
        </is>
      </c>
      <c r="G1616" t="inlineStr">
        <is>
          <t>6300</t>
        </is>
      </c>
      <c r="H1616" t="inlineStr">
        <is>
          <t>Cloud Hosting</t>
        </is>
      </c>
      <c r="I1616" t="inlineStr">
        <is>
          <t>Services</t>
        </is>
      </c>
      <c r="J1616">
        <f>1010.22</f>
        <v/>
      </c>
    </row>
    <row r="1617">
      <c r="B1617" t="inlineStr">
        <is>
          <t>07/12/2025</t>
        </is>
      </c>
      <c r="C1617" t="inlineStr">
        <is>
          <t>Credit Card Charge</t>
        </is>
      </c>
      <c r="D1617" t="inlineStr"/>
      <c r="E1617" t="inlineStr">
        <is>
          <t>Contoso Cloud</t>
        </is>
      </c>
      <c r="F1617" t="inlineStr">
        <is>
          <t>Contoso Cloud 2025-07</t>
        </is>
      </c>
      <c r="H1617" t="inlineStr">
        <is>
          <t>Vantage Credit Card 3391</t>
        </is>
      </c>
      <c r="I1617" t="inlineStr">
        <is>
          <t>Services</t>
        </is>
      </c>
      <c r="K1617">
        <f>1010.22</f>
        <v/>
      </c>
    </row>
    <row r="1618">
      <c r="A1618" t="inlineStr">
        <is>
          <t>Total for T-00322</t>
        </is>
      </c>
      <c r="J1618">
        <f>J1616</f>
        <v/>
      </c>
      <c r="K1618">
        <f>K1617</f>
        <v/>
      </c>
    </row>
    <row r="1619"/>
    <row r="1620">
      <c r="A1620" t="inlineStr">
        <is>
          <t>T-00334</t>
        </is>
      </c>
    </row>
    <row r="1621">
      <c r="B1621" t="inlineStr">
        <is>
          <t>07/12/2025</t>
        </is>
      </c>
      <c r="C1621" t="inlineStr">
        <is>
          <t>Credit Card Charge</t>
        </is>
      </c>
      <c r="D1621" t="inlineStr"/>
      <c r="E1621" t="inlineStr">
        <is>
          <t>Metro Rideshare</t>
        </is>
      </c>
      <c r="F1621" t="inlineStr">
        <is>
          <t>Metro Rideshare 2025-07</t>
        </is>
      </c>
      <c r="G1621" t="inlineStr">
        <is>
          <t>6900</t>
        </is>
      </c>
      <c r="H1621" t="inlineStr">
        <is>
          <t>Travel and Meals</t>
        </is>
      </c>
      <c r="I1621" t="inlineStr">
        <is>
          <t>Overhead</t>
        </is>
      </c>
      <c r="J1621">
        <f>66.98</f>
        <v/>
      </c>
    </row>
    <row r="1622">
      <c r="B1622" t="inlineStr">
        <is>
          <t>07/12/2025</t>
        </is>
      </c>
      <c r="C1622" t="inlineStr">
        <is>
          <t>Credit Card Charge</t>
        </is>
      </c>
      <c r="D1622" t="inlineStr"/>
      <c r="E1622" t="inlineStr">
        <is>
          <t>Metro Rideshare</t>
        </is>
      </c>
      <c r="F1622" t="inlineStr">
        <is>
          <t>Metro Rideshare 2025-07</t>
        </is>
      </c>
      <c r="H1622" t="inlineStr">
        <is>
          <t>Vantage Credit Card 3391</t>
        </is>
      </c>
      <c r="I1622" t="inlineStr">
        <is>
          <t>Overhead</t>
        </is>
      </c>
      <c r="K1622">
        <f>66.98</f>
        <v/>
      </c>
    </row>
    <row r="1623">
      <c r="A1623" t="inlineStr">
        <is>
          <t>Total for T-00334</t>
        </is>
      </c>
      <c r="J1623">
        <f>J1621</f>
        <v/>
      </c>
      <c r="K1623">
        <f>K1622</f>
        <v/>
      </c>
    </row>
    <row r="1624"/>
    <row r="1625">
      <c r="A1625" t="inlineStr">
        <is>
          <t>T-00341</t>
        </is>
      </c>
    </row>
    <row r="1626">
      <c r="B1626" t="inlineStr">
        <is>
          <t>07/12/2025</t>
        </is>
      </c>
      <c r="C1626" t="inlineStr">
        <is>
          <t>Expense</t>
        </is>
      </c>
      <c r="D1626" t="inlineStr"/>
      <c r="E1626" t="inlineStr">
        <is>
          <t>Bluepeak Engineering</t>
        </is>
      </c>
      <c r="F1626" t="inlineStr">
        <is>
          <t>Bluepeak Engineering invoice 52711</t>
        </is>
      </c>
      <c r="G1626" t="inlineStr">
        <is>
          <t>6100</t>
        </is>
      </c>
      <c r="H1626" t="inlineStr">
        <is>
          <t>Contract Engineering</t>
        </is>
      </c>
      <c r="I1626" t="inlineStr">
        <is>
          <t>Product</t>
        </is>
      </c>
      <c r="J1626">
        <f>1089.22</f>
        <v/>
      </c>
    </row>
    <row r="1627">
      <c r="B1627" t="inlineStr">
        <is>
          <t>07/12/2025</t>
        </is>
      </c>
      <c r="C1627" t="inlineStr">
        <is>
          <t>Expense</t>
        </is>
      </c>
      <c r="D1627" t="inlineStr"/>
      <c r="E1627" t="inlineStr">
        <is>
          <t>Bluepeak Engineering</t>
        </is>
      </c>
      <c r="F1627" t="inlineStr">
        <is>
          <t>Bluepeak Engineering invoice 52711</t>
        </is>
      </c>
      <c r="G1627" t="inlineStr">
        <is>
          <t>1010</t>
        </is>
      </c>
      <c r="H1627" t="inlineStr">
        <is>
          <t>Northgate Checking 7742</t>
        </is>
      </c>
      <c r="I1627" t="inlineStr">
        <is>
          <t>Product</t>
        </is>
      </c>
      <c r="K1627">
        <f>1089.22</f>
        <v/>
      </c>
    </row>
    <row r="1628">
      <c r="A1628" t="inlineStr">
        <is>
          <t>Total for T-00341</t>
        </is>
      </c>
      <c r="J1628">
        <f>J1626</f>
        <v/>
      </c>
      <c r="K1628">
        <f>K1627</f>
        <v/>
      </c>
    </row>
    <row r="1629"/>
    <row r="1630">
      <c r="A1630" t="inlineStr">
        <is>
          <t>T-00333</t>
        </is>
      </c>
    </row>
    <row r="1631">
      <c r="B1631" t="inlineStr">
        <is>
          <t>07/13/2025</t>
        </is>
      </c>
      <c r="C1631" t="inlineStr">
        <is>
          <t>Expense</t>
        </is>
      </c>
      <c r="D1631" t="inlineStr"/>
      <c r="E1631" t="inlineStr">
        <is>
          <t>Litware Legal</t>
        </is>
      </c>
      <c r="F1631" t="inlineStr">
        <is>
          <t>Litware Legal invoice 30501</t>
        </is>
      </c>
      <c r="G1631" t="inlineStr">
        <is>
          <t>6800</t>
        </is>
      </c>
      <c r="H1631" t="inlineStr">
        <is>
          <t>Professional Fees</t>
        </is>
      </c>
      <c r="I1631" t="inlineStr">
        <is>
          <t>Overhead</t>
        </is>
      </c>
      <c r="J1631">
        <f>873.19</f>
        <v/>
      </c>
    </row>
    <row r="1632">
      <c r="B1632" t="inlineStr">
        <is>
          <t>07/13/2025</t>
        </is>
      </c>
      <c r="C1632" t="inlineStr">
        <is>
          <t>Expense</t>
        </is>
      </c>
      <c r="D1632" t="inlineStr"/>
      <c r="E1632" t="inlineStr">
        <is>
          <t>Litware Legal</t>
        </is>
      </c>
      <c r="F1632" t="inlineStr">
        <is>
          <t>Litware Legal invoice 30501</t>
        </is>
      </c>
      <c r="G1632" t="inlineStr">
        <is>
          <t>1010</t>
        </is>
      </c>
      <c r="H1632" t="inlineStr">
        <is>
          <t>Northgate Checking 7742</t>
        </is>
      </c>
      <c r="I1632" t="inlineStr">
        <is>
          <t>Overhead</t>
        </is>
      </c>
      <c r="K1632">
        <f>873.19</f>
        <v/>
      </c>
    </row>
    <row r="1633">
      <c r="A1633" t="inlineStr">
        <is>
          <t>Total for T-00333</t>
        </is>
      </c>
      <c r="J1633">
        <f>J1631</f>
        <v/>
      </c>
      <c r="K1633">
        <f>K1632</f>
        <v/>
      </c>
    </row>
    <row r="1634"/>
    <row r="1635">
      <c r="A1635" t="inlineStr">
        <is>
          <t>T-00298</t>
        </is>
      </c>
    </row>
    <row r="1636">
      <c r="B1636" t="inlineStr">
        <is>
          <t>07/15/2025</t>
        </is>
      </c>
      <c r="C1636" t="inlineStr">
        <is>
          <t>Expense</t>
        </is>
      </c>
      <c r="D1636" t="inlineStr"/>
      <c r="E1636" t="inlineStr">
        <is>
          <t>Proseware Payroll</t>
        </is>
      </c>
      <c r="F1636" t="inlineStr">
        <is>
          <t>Payroll 2025-07-15 gross wages</t>
        </is>
      </c>
      <c r="G1636" t="inlineStr">
        <is>
          <t>6000</t>
        </is>
      </c>
      <c r="H1636" t="inlineStr">
        <is>
          <t>Salaries and Wages</t>
        </is>
      </c>
      <c r="I1636" t="inlineStr">
        <is>
          <t>Overhead</t>
        </is>
      </c>
      <c r="J1636">
        <f>21700.00</f>
        <v/>
      </c>
    </row>
    <row r="1637">
      <c r="B1637" t="inlineStr">
        <is>
          <t>07/15/2025</t>
        </is>
      </c>
      <c r="C1637" t="inlineStr">
        <is>
          <t>Expense</t>
        </is>
      </c>
      <c r="D1637" t="inlineStr"/>
      <c r="E1637" t="inlineStr">
        <is>
          <t>Proseware Payroll</t>
        </is>
      </c>
      <c r="F1637" t="inlineStr">
        <is>
          <t>Payroll 2025-07-15 employer taxes</t>
        </is>
      </c>
      <c r="G1637" t="inlineStr">
        <is>
          <t>6010</t>
        </is>
      </c>
      <c r="H1637" t="inlineStr">
        <is>
          <t>Payroll Taxes</t>
        </is>
      </c>
      <c r="I1637" t="inlineStr">
        <is>
          <t>Overhead</t>
        </is>
      </c>
      <c r="J1637">
        <f>1660.05</f>
        <v/>
      </c>
    </row>
    <row r="1638">
      <c r="B1638" t="inlineStr">
        <is>
          <t>07/15/2025</t>
        </is>
      </c>
      <c r="C1638" t="inlineStr">
        <is>
          <t>Expense</t>
        </is>
      </c>
      <c r="D1638" t="inlineStr"/>
      <c r="E1638" t="inlineStr">
        <is>
          <t>Proseware Payroll</t>
        </is>
      </c>
      <c r="F1638" t="inlineStr">
        <is>
          <t>Proseware payroll debit 2025-07-15</t>
        </is>
      </c>
      <c r="G1638" t="inlineStr">
        <is>
          <t>1010</t>
        </is>
      </c>
      <c r="H1638" t="inlineStr">
        <is>
          <t>Northgate Checking 7742</t>
        </is>
      </c>
      <c r="I1638" t="inlineStr">
        <is>
          <t>Overhead</t>
        </is>
      </c>
      <c r="K1638">
        <f>23360.05</f>
        <v/>
      </c>
    </row>
    <row r="1639">
      <c r="A1639" t="inlineStr">
        <is>
          <t>Total for T-00298</t>
        </is>
      </c>
      <c r="J1639">
        <f>J1636+J1637</f>
        <v/>
      </c>
      <c r="K1639">
        <f>K1638</f>
        <v/>
      </c>
    </row>
    <row r="1640"/>
    <row r="1641">
      <c r="A1641" t="inlineStr">
        <is>
          <t>T-00300</t>
        </is>
      </c>
    </row>
    <row r="1642">
      <c r="B1642" t="inlineStr">
        <is>
          <t>07/15/2025</t>
        </is>
      </c>
      <c r="C1642" t="inlineStr">
        <is>
          <t>Deposit</t>
        </is>
      </c>
      <c r="D1642" t="inlineStr"/>
      <c r="E1642" t="inlineStr">
        <is>
          <t>Paylane</t>
        </is>
      </c>
      <c r="F1642" t="inlineStr">
        <is>
          <t>Paylane payout 2025-07 #1</t>
        </is>
      </c>
      <c r="G1642" t="inlineStr">
        <is>
          <t>1010</t>
        </is>
      </c>
      <c r="H1642" t="inlineStr">
        <is>
          <t>Northgate Checking 7742</t>
        </is>
      </c>
      <c r="I1642" t="inlineStr">
        <is>
          <t>Product</t>
        </is>
      </c>
      <c r="J1642">
        <f>17936.71</f>
        <v/>
      </c>
    </row>
    <row r="1643">
      <c r="B1643" t="inlineStr">
        <is>
          <t>07/15/2025</t>
        </is>
      </c>
      <c r="C1643" t="inlineStr">
        <is>
          <t>Deposit</t>
        </is>
      </c>
      <c r="D1643" t="inlineStr"/>
      <c r="E1643" t="inlineStr">
        <is>
          <t>Paylane</t>
        </is>
      </c>
      <c r="F1643" t="inlineStr">
        <is>
          <t>Paylane payout 2025-07 #1</t>
        </is>
      </c>
      <c r="G1643" t="inlineStr">
        <is>
          <t>1200</t>
        </is>
      </c>
      <c r="H1643" t="inlineStr">
        <is>
          <t>Paylane Clearing</t>
        </is>
      </c>
      <c r="I1643" t="inlineStr">
        <is>
          <t>Product</t>
        </is>
      </c>
      <c r="K1643">
        <f>17936.71</f>
        <v/>
      </c>
    </row>
    <row r="1644">
      <c r="A1644" t="inlineStr">
        <is>
          <t>Total for T-00300</t>
        </is>
      </c>
      <c r="J1644">
        <f>J1642</f>
        <v/>
      </c>
      <c r="K1644">
        <f>K1643</f>
        <v/>
      </c>
    </row>
    <row r="1645"/>
    <row r="1646">
      <c r="A1646" t="inlineStr">
        <is>
          <t>T-00324</t>
        </is>
      </c>
    </row>
    <row r="1647">
      <c r="B1647" t="inlineStr">
        <is>
          <t>07/15/2025</t>
        </is>
      </c>
      <c r="C1647" t="inlineStr">
        <is>
          <t>Expense</t>
        </is>
      </c>
      <c r="D1647" t="inlineStr"/>
      <c r="E1647" t="inlineStr">
        <is>
          <t>Bluepeak Engineering</t>
        </is>
      </c>
      <c r="F1647" t="inlineStr">
        <is>
          <t>Bluepeak Engineering invoice 68953</t>
        </is>
      </c>
      <c r="G1647" t="inlineStr">
        <is>
          <t>6100</t>
        </is>
      </c>
      <c r="H1647" t="inlineStr">
        <is>
          <t>Contract Engineering</t>
        </is>
      </c>
      <c r="I1647" t="inlineStr">
        <is>
          <t>Product</t>
        </is>
      </c>
      <c r="J1647">
        <f>1211.82</f>
        <v/>
      </c>
    </row>
    <row r="1648">
      <c r="B1648" t="inlineStr">
        <is>
          <t>07/15/2025</t>
        </is>
      </c>
      <c r="C1648" t="inlineStr">
        <is>
          <t>Expense</t>
        </is>
      </c>
      <c r="D1648" t="inlineStr"/>
      <c r="E1648" t="inlineStr">
        <is>
          <t>Bluepeak Engineering</t>
        </is>
      </c>
      <c r="F1648" t="inlineStr">
        <is>
          <t>Bluepeak Engineering invoice 68953</t>
        </is>
      </c>
      <c r="G1648" t="inlineStr">
        <is>
          <t>1010</t>
        </is>
      </c>
      <c r="H1648" t="inlineStr">
        <is>
          <t>Northgate Checking 7742</t>
        </is>
      </c>
      <c r="I1648" t="inlineStr">
        <is>
          <t>Product</t>
        </is>
      </c>
      <c r="K1648">
        <f>1211.82</f>
        <v/>
      </c>
    </row>
    <row r="1649">
      <c r="A1649" t="inlineStr">
        <is>
          <t>Total for T-00324</t>
        </is>
      </c>
      <c r="J1649">
        <f>J1647</f>
        <v/>
      </c>
      <c r="K1649">
        <f>K1648</f>
        <v/>
      </c>
    </row>
    <row r="1650"/>
    <row r="1651">
      <c r="A1651" t="inlineStr">
        <is>
          <t>T-00326</t>
        </is>
      </c>
    </row>
    <row r="1652">
      <c r="B1652" t="inlineStr">
        <is>
          <t>07/15/2025</t>
        </is>
      </c>
      <c r="C1652" t="inlineStr">
        <is>
          <t>Expense</t>
        </is>
      </c>
      <c r="D1652" t="inlineStr"/>
      <c r="E1652" t="inlineStr">
        <is>
          <t>Northwind Supply</t>
        </is>
      </c>
      <c r="F1652" t="inlineStr">
        <is>
          <t>Northwind Supply invoice 79584</t>
        </is>
      </c>
      <c r="G1652" t="inlineStr">
        <is>
          <t>5000</t>
        </is>
      </c>
      <c r="H1652" t="inlineStr">
        <is>
          <t>Cost of Goods Sold - Components</t>
        </is>
      </c>
      <c r="I1652" t="inlineStr">
        <is>
          <t>Product</t>
        </is>
      </c>
      <c r="J1652">
        <f>336.83</f>
        <v/>
      </c>
    </row>
    <row r="1653">
      <c r="B1653" t="inlineStr">
        <is>
          <t>07/15/2025</t>
        </is>
      </c>
      <c r="C1653" t="inlineStr">
        <is>
          <t>Expense</t>
        </is>
      </c>
      <c r="D1653" t="inlineStr"/>
      <c r="E1653" t="inlineStr">
        <is>
          <t>Northwind Supply</t>
        </is>
      </c>
      <c r="F1653" t="inlineStr">
        <is>
          <t>Northwind Supply invoice 79584</t>
        </is>
      </c>
      <c r="G1653" t="inlineStr">
        <is>
          <t>1010</t>
        </is>
      </c>
      <c r="H1653" t="inlineStr">
        <is>
          <t>Northgate Checking 7742</t>
        </is>
      </c>
      <c r="I1653" t="inlineStr">
        <is>
          <t>Product</t>
        </is>
      </c>
      <c r="K1653">
        <f>336.83</f>
        <v/>
      </c>
    </row>
    <row r="1654">
      <c r="A1654" t="inlineStr">
        <is>
          <t>Total for T-00326</t>
        </is>
      </c>
      <c r="J1654">
        <f>J1652</f>
        <v/>
      </c>
      <c r="K1654">
        <f>K1653</f>
        <v/>
      </c>
    </row>
    <row r="1655"/>
    <row r="1656">
      <c r="A1656" t="inlineStr">
        <is>
          <t>T-00337</t>
        </is>
      </c>
    </row>
    <row r="1657">
      <c r="B1657" t="inlineStr">
        <is>
          <t>07/15/2025</t>
        </is>
      </c>
      <c r="C1657" t="inlineStr">
        <is>
          <t>Expense</t>
        </is>
      </c>
      <c r="D1657" t="inlineStr"/>
      <c r="E1657" t="inlineStr">
        <is>
          <t>Bluepeak Engineering</t>
        </is>
      </c>
      <c r="F1657" t="inlineStr">
        <is>
          <t>Bluepeak Engineering invoice 26007</t>
        </is>
      </c>
      <c r="G1657" t="inlineStr">
        <is>
          <t>6100</t>
        </is>
      </c>
      <c r="H1657" t="inlineStr">
        <is>
          <t>Contract Engineering</t>
        </is>
      </c>
      <c r="I1657" t="inlineStr">
        <is>
          <t>Product</t>
        </is>
      </c>
      <c r="J1657">
        <f>1636.48</f>
        <v/>
      </c>
    </row>
    <row r="1658">
      <c r="B1658" t="inlineStr">
        <is>
          <t>07/15/2025</t>
        </is>
      </c>
      <c r="C1658" t="inlineStr">
        <is>
          <t>Expense</t>
        </is>
      </c>
      <c r="D1658" t="inlineStr"/>
      <c r="E1658" t="inlineStr">
        <is>
          <t>Bluepeak Engineering</t>
        </is>
      </c>
      <c r="F1658" t="inlineStr">
        <is>
          <t>Bluepeak Engineering invoice 26007</t>
        </is>
      </c>
      <c r="G1658" t="inlineStr">
        <is>
          <t>1010</t>
        </is>
      </c>
      <c r="H1658" t="inlineStr">
        <is>
          <t>Northgate Checking 7742</t>
        </is>
      </c>
      <c r="I1658" t="inlineStr">
        <is>
          <t>Product</t>
        </is>
      </c>
      <c r="K1658">
        <f>1636.48</f>
        <v/>
      </c>
    </row>
    <row r="1659">
      <c r="A1659" t="inlineStr">
        <is>
          <t>Total for T-00337</t>
        </is>
      </c>
      <c r="J1659">
        <f>J1657</f>
        <v/>
      </c>
      <c r="K1659">
        <f>K1658</f>
        <v/>
      </c>
    </row>
    <row r="1660"/>
    <row r="1661">
      <c r="A1661" t="inlineStr">
        <is>
          <t>T-00313</t>
        </is>
      </c>
    </row>
    <row r="1662">
      <c r="B1662" t="inlineStr">
        <is>
          <t>07/16/2025</t>
        </is>
      </c>
      <c r="C1662" t="inlineStr">
        <is>
          <t>Expense</t>
        </is>
      </c>
      <c r="D1662" t="inlineStr"/>
      <c r="E1662" t="inlineStr">
        <is>
          <t>Fabrikam Freight</t>
        </is>
      </c>
      <c r="F1662" t="inlineStr">
        <is>
          <t>Fabrikam Freight invoice 24499</t>
        </is>
      </c>
      <c r="G1662" t="inlineStr">
        <is>
          <t>5100</t>
        </is>
      </c>
      <c r="H1662" t="inlineStr">
        <is>
          <t>Shipping and Freight</t>
        </is>
      </c>
      <c r="I1662" t="inlineStr">
        <is>
          <t>Product</t>
        </is>
      </c>
      <c r="J1662">
        <f>153.84</f>
        <v/>
      </c>
    </row>
    <row r="1663">
      <c r="B1663" t="inlineStr">
        <is>
          <t>07/16/2025</t>
        </is>
      </c>
      <c r="C1663" t="inlineStr">
        <is>
          <t>Expense</t>
        </is>
      </c>
      <c r="D1663" t="inlineStr"/>
      <c r="E1663" t="inlineStr">
        <is>
          <t>Fabrikam Freight</t>
        </is>
      </c>
      <c r="F1663" t="inlineStr">
        <is>
          <t>Fabrikam Freight invoice 24499</t>
        </is>
      </c>
      <c r="G1663" t="inlineStr">
        <is>
          <t>1010</t>
        </is>
      </c>
      <c r="H1663" t="inlineStr">
        <is>
          <t>Northgate Checking 7742</t>
        </is>
      </c>
      <c r="I1663" t="inlineStr">
        <is>
          <t>Product</t>
        </is>
      </c>
      <c r="K1663">
        <f>153.84</f>
        <v/>
      </c>
    </row>
    <row r="1664">
      <c r="A1664" t="inlineStr">
        <is>
          <t>Total for T-00313</t>
        </is>
      </c>
      <c r="J1664">
        <f>J1662</f>
        <v/>
      </c>
      <c r="K1664">
        <f>K1663</f>
        <v/>
      </c>
    </row>
    <row r="1665"/>
    <row r="1666">
      <c r="A1666" t="inlineStr">
        <is>
          <t>T-00305</t>
        </is>
      </c>
    </row>
    <row r="1667">
      <c r="B1667" t="inlineStr">
        <is>
          <t>07/17/2025</t>
        </is>
      </c>
      <c r="C1667" t="inlineStr">
        <is>
          <t>Expense</t>
        </is>
      </c>
      <c r="D1667" t="inlineStr"/>
      <c r="E1667" t="inlineStr">
        <is>
          <t>Quartz CAD Services</t>
        </is>
      </c>
      <c r="F1667" t="inlineStr">
        <is>
          <t>Quartz CAD Services invoice 88789</t>
        </is>
      </c>
      <c r="G1667" t="inlineStr">
        <is>
          <t>6100</t>
        </is>
      </c>
      <c r="H1667" t="inlineStr">
        <is>
          <t>Contract Engineering</t>
        </is>
      </c>
      <c r="I1667" t="inlineStr">
        <is>
          <t>Product</t>
        </is>
      </c>
      <c r="J1667">
        <f>433.71</f>
        <v/>
      </c>
    </row>
    <row r="1668">
      <c r="B1668" t="inlineStr">
        <is>
          <t>07/17/2025</t>
        </is>
      </c>
      <c r="C1668" t="inlineStr">
        <is>
          <t>Expense</t>
        </is>
      </c>
      <c r="D1668" t="inlineStr"/>
      <c r="E1668" t="inlineStr">
        <is>
          <t>Quartz CAD Services</t>
        </is>
      </c>
      <c r="F1668" t="inlineStr">
        <is>
          <t>Quartz CAD Services invoice 88789</t>
        </is>
      </c>
      <c r="G1668" t="inlineStr">
        <is>
          <t>1010</t>
        </is>
      </c>
      <c r="H1668" t="inlineStr">
        <is>
          <t>Northgate Checking 7742</t>
        </is>
      </c>
      <c r="I1668" t="inlineStr">
        <is>
          <t>Product</t>
        </is>
      </c>
      <c r="K1668">
        <f>433.71</f>
        <v/>
      </c>
    </row>
    <row r="1669">
      <c r="A1669" t="inlineStr">
        <is>
          <t>Total for T-00305</t>
        </is>
      </c>
      <c r="J1669">
        <f>J1667</f>
        <v/>
      </c>
      <c r="K1669">
        <f>K1668</f>
        <v/>
      </c>
    </row>
    <row r="1670"/>
    <row r="1671">
      <c r="A1671" t="inlineStr">
        <is>
          <t>T-00303</t>
        </is>
      </c>
    </row>
    <row r="1672">
      <c r="B1672" t="inlineStr">
        <is>
          <t>07/18/2025</t>
        </is>
      </c>
      <c r="C1672" t="inlineStr">
        <is>
          <t>Expense</t>
        </is>
      </c>
      <c r="D1672" t="inlineStr"/>
      <c r="E1672" t="inlineStr">
        <is>
          <t>Trey Research</t>
        </is>
      </c>
      <c r="F1672" t="inlineStr">
        <is>
          <t>Trey Research monthly engagement</t>
        </is>
      </c>
      <c r="G1672" t="inlineStr">
        <is>
          <t>6600</t>
        </is>
      </c>
      <c r="H1672" t="inlineStr">
        <is>
          <t>Marketing and Advertising</t>
        </is>
      </c>
      <c r="I1672" t="inlineStr">
        <is>
          <t>Overhead</t>
        </is>
      </c>
      <c r="J1672">
        <f>2900.42</f>
        <v/>
      </c>
    </row>
    <row r="1673">
      <c r="B1673" t="inlineStr">
        <is>
          <t>07/18/2025</t>
        </is>
      </c>
      <c r="C1673" t="inlineStr">
        <is>
          <t>Expense</t>
        </is>
      </c>
      <c r="D1673" t="inlineStr"/>
      <c r="E1673" t="inlineStr">
        <is>
          <t>Trey Research</t>
        </is>
      </c>
      <c r="F1673" t="inlineStr">
        <is>
          <t>Trey Research monthly engagement</t>
        </is>
      </c>
      <c r="G1673" t="inlineStr">
        <is>
          <t>1010</t>
        </is>
      </c>
      <c r="H1673" t="inlineStr">
        <is>
          <t>Northgate Checking 7742</t>
        </is>
      </c>
      <c r="I1673" t="inlineStr">
        <is>
          <t>Overhead</t>
        </is>
      </c>
      <c r="K1673">
        <f>2900.42</f>
        <v/>
      </c>
    </row>
    <row r="1674">
      <c r="A1674" t="inlineStr">
        <is>
          <t>Total for T-00303</t>
        </is>
      </c>
      <c r="J1674">
        <f>J1672</f>
        <v/>
      </c>
      <c r="K1674">
        <f>K1673</f>
        <v/>
      </c>
    </row>
    <row r="1675"/>
    <row r="1676">
      <c r="A1676" t="inlineStr">
        <is>
          <t>T-00297</t>
        </is>
      </c>
    </row>
    <row r="1677">
      <c r="B1677" t="inlineStr">
        <is>
          <t>07/20/2025</t>
        </is>
      </c>
      <c r="C1677" t="inlineStr">
        <is>
          <t>Bill</t>
        </is>
      </c>
      <c r="D1677" t="inlineStr">
        <is>
          <t>NWS-4406</t>
        </is>
      </c>
      <c r="E1677" t="inlineStr">
        <is>
          <t>Northwind Supply</t>
        </is>
      </c>
      <c r="F1677" t="inlineStr">
        <is>
          <t>NWS-4406 components</t>
        </is>
      </c>
      <c r="G1677" t="inlineStr">
        <is>
          <t>5000</t>
        </is>
      </c>
      <c r="H1677" t="inlineStr">
        <is>
          <t>Cost of Goods Sold - Components</t>
        </is>
      </c>
      <c r="I1677" t="inlineStr">
        <is>
          <t>Product</t>
        </is>
      </c>
      <c r="J1677">
        <f>12857.68</f>
        <v/>
      </c>
    </row>
    <row r="1678">
      <c r="B1678" t="inlineStr">
        <is>
          <t>07/20/2025</t>
        </is>
      </c>
      <c r="C1678" t="inlineStr">
        <is>
          <t>Bill</t>
        </is>
      </c>
      <c r="D1678" t="inlineStr">
        <is>
          <t>NWS-4406</t>
        </is>
      </c>
      <c r="E1678" t="inlineStr">
        <is>
          <t>Northwind Supply</t>
        </is>
      </c>
      <c r="F1678" t="inlineStr">
        <is>
          <t>NWS-4406 components</t>
        </is>
      </c>
      <c r="G1678" t="inlineStr">
        <is>
          <t>2010</t>
        </is>
      </c>
      <c r="H1678" t="inlineStr">
        <is>
          <t>Accounts Payable</t>
        </is>
      </c>
      <c r="I1678" t="inlineStr">
        <is>
          <t>Product</t>
        </is>
      </c>
      <c r="K1678">
        <f>12857.68</f>
        <v/>
      </c>
    </row>
    <row r="1679">
      <c r="A1679" t="inlineStr">
        <is>
          <t>Total for T-00297</t>
        </is>
      </c>
      <c r="J1679">
        <f>J1677</f>
        <v/>
      </c>
      <c r="K1679">
        <f>K1678</f>
        <v/>
      </c>
    </row>
    <row r="1680"/>
    <row r="1681">
      <c r="A1681" t="inlineStr">
        <is>
          <t>T-00329</t>
        </is>
      </c>
    </row>
    <row r="1682">
      <c r="B1682" t="inlineStr">
        <is>
          <t>07/20/2025</t>
        </is>
      </c>
      <c r="C1682" t="inlineStr">
        <is>
          <t>Expense</t>
        </is>
      </c>
      <c r="D1682" t="inlineStr"/>
      <c r="E1682" t="inlineStr">
        <is>
          <t>Redwood Prototyping</t>
        </is>
      </c>
      <c r="F1682" t="inlineStr">
        <is>
          <t>Redwood Prototyping invoice 19546</t>
        </is>
      </c>
      <c r="G1682" t="inlineStr">
        <is>
          <t>6100</t>
        </is>
      </c>
      <c r="H1682" t="inlineStr">
        <is>
          <t>Contract Engineering</t>
        </is>
      </c>
      <c r="I1682" t="inlineStr">
        <is>
          <t>Product</t>
        </is>
      </c>
      <c r="J1682">
        <f>779.28</f>
        <v/>
      </c>
    </row>
    <row r="1683">
      <c r="B1683" t="inlineStr">
        <is>
          <t>07/20/2025</t>
        </is>
      </c>
      <c r="C1683" t="inlineStr">
        <is>
          <t>Expense</t>
        </is>
      </c>
      <c r="D1683" t="inlineStr"/>
      <c r="E1683" t="inlineStr">
        <is>
          <t>Redwood Prototyping</t>
        </is>
      </c>
      <c r="F1683" t="inlineStr">
        <is>
          <t>Redwood Prototyping invoice 19546</t>
        </is>
      </c>
      <c r="G1683" t="inlineStr">
        <is>
          <t>1010</t>
        </is>
      </c>
      <c r="H1683" t="inlineStr">
        <is>
          <t>Northgate Checking 7742</t>
        </is>
      </c>
      <c r="I1683" t="inlineStr">
        <is>
          <t>Product</t>
        </is>
      </c>
      <c r="K1683">
        <f>779.28</f>
        <v/>
      </c>
    </row>
    <row r="1684">
      <c r="A1684" t="inlineStr">
        <is>
          <t>Total for T-00329</t>
        </is>
      </c>
      <c r="J1684">
        <f>J1682</f>
        <v/>
      </c>
      <c r="K1684">
        <f>K1683</f>
        <v/>
      </c>
    </row>
    <row r="1685"/>
    <row r="1686">
      <c r="A1686" t="inlineStr">
        <is>
          <t>T-00289</t>
        </is>
      </c>
    </row>
    <row r="1687">
      <c r="B1687" t="inlineStr">
        <is>
          <t>07/22/2025</t>
        </is>
      </c>
      <c r="C1687" t="inlineStr">
        <is>
          <t>Credit Card Charge</t>
        </is>
      </c>
      <c r="D1687" t="inlineStr"/>
      <c r="E1687" t="inlineStr">
        <is>
          <t>Fabrikam Freight</t>
        </is>
      </c>
      <c r="F1687" t="inlineStr">
        <is>
          <t>Outbound freight 2025-07</t>
        </is>
      </c>
      <c r="G1687" t="inlineStr">
        <is>
          <t>5100</t>
        </is>
      </c>
      <c r="H1687" t="inlineStr">
        <is>
          <t>Shipping and Freight</t>
        </is>
      </c>
      <c r="I1687" t="inlineStr">
        <is>
          <t>Product</t>
        </is>
      </c>
      <c r="J1687">
        <f>1667.96</f>
        <v/>
      </c>
    </row>
    <row r="1688">
      <c r="B1688" t="inlineStr">
        <is>
          <t>07/22/2025</t>
        </is>
      </c>
      <c r="C1688" t="inlineStr">
        <is>
          <t>Credit Card Charge</t>
        </is>
      </c>
      <c r="D1688" t="inlineStr"/>
      <c r="E1688" t="inlineStr">
        <is>
          <t>Fabrikam Freight</t>
        </is>
      </c>
      <c r="F1688" t="inlineStr">
        <is>
          <t>Outbound freight 2025-07</t>
        </is>
      </c>
      <c r="H1688" t="inlineStr">
        <is>
          <t>Vantage Credit Card 3391</t>
        </is>
      </c>
      <c r="I1688" t="inlineStr">
        <is>
          <t>Product</t>
        </is>
      </c>
      <c r="K1688">
        <f>1667.96</f>
        <v/>
      </c>
    </row>
    <row r="1689">
      <c r="A1689" t="inlineStr">
        <is>
          <t>Total for T-00289</t>
        </is>
      </c>
      <c r="J1689">
        <f>J1687</f>
        <v/>
      </c>
      <c r="K1689">
        <f>K1688</f>
        <v/>
      </c>
    </row>
    <row r="1690"/>
    <row r="1691">
      <c r="A1691" t="inlineStr">
        <is>
          <t>T-00311</t>
        </is>
      </c>
    </row>
    <row r="1692">
      <c r="B1692" t="inlineStr">
        <is>
          <t>07/22/2025</t>
        </is>
      </c>
      <c r="C1692" t="inlineStr">
        <is>
          <t>Credit Card Charge</t>
        </is>
      </c>
      <c r="D1692" t="inlineStr"/>
      <c r="E1692" t="inlineStr">
        <is>
          <t>Tailspin Tools</t>
        </is>
      </c>
      <c r="F1692" t="inlineStr">
        <is>
          <t>Tailspin Tools 2025-07</t>
        </is>
      </c>
      <c r="G1692" t="inlineStr">
        <is>
          <t>6200</t>
        </is>
      </c>
      <c r="H1692" t="inlineStr">
        <is>
          <t>Software Subscriptions</t>
        </is>
      </c>
      <c r="I1692" t="inlineStr">
        <is>
          <t>Overhead</t>
        </is>
      </c>
      <c r="J1692">
        <f>188.17</f>
        <v/>
      </c>
    </row>
    <row r="1693">
      <c r="B1693" t="inlineStr">
        <is>
          <t>07/22/2025</t>
        </is>
      </c>
      <c r="C1693" t="inlineStr">
        <is>
          <t>Credit Card Charge</t>
        </is>
      </c>
      <c r="D1693" t="inlineStr"/>
      <c r="E1693" t="inlineStr">
        <is>
          <t>Tailspin Tools</t>
        </is>
      </c>
      <c r="F1693" t="inlineStr">
        <is>
          <t>Tailspin Tools 2025-07</t>
        </is>
      </c>
      <c r="H1693" t="inlineStr">
        <is>
          <t>Vantage Credit Card 3391</t>
        </is>
      </c>
      <c r="I1693" t="inlineStr">
        <is>
          <t>Overhead</t>
        </is>
      </c>
      <c r="K1693">
        <f>188.17</f>
        <v/>
      </c>
    </row>
    <row r="1694">
      <c r="A1694" t="inlineStr">
        <is>
          <t>Total for T-00311</t>
        </is>
      </c>
      <c r="J1694">
        <f>J1692</f>
        <v/>
      </c>
      <c r="K1694">
        <f>K1693</f>
        <v/>
      </c>
    </row>
    <row r="1695"/>
    <row r="1696">
      <c r="A1696" t="inlineStr">
        <is>
          <t>T-00336</t>
        </is>
      </c>
    </row>
    <row r="1697">
      <c r="B1697" t="inlineStr">
        <is>
          <t>07/22/2025</t>
        </is>
      </c>
      <c r="C1697" t="inlineStr">
        <is>
          <t>Expense</t>
        </is>
      </c>
      <c r="D1697" t="inlineStr"/>
      <c r="E1697" t="inlineStr">
        <is>
          <t>Bluepeak Engineering</t>
        </is>
      </c>
      <c r="F1697" t="inlineStr">
        <is>
          <t>Bluepeak Engineering invoice 61186</t>
        </is>
      </c>
      <c r="G1697" t="inlineStr">
        <is>
          <t>6100</t>
        </is>
      </c>
      <c r="H1697" t="inlineStr">
        <is>
          <t>Contract Engineering</t>
        </is>
      </c>
      <c r="I1697" t="inlineStr">
        <is>
          <t>Product</t>
        </is>
      </c>
      <c r="J1697">
        <f>486.07</f>
        <v/>
      </c>
    </row>
    <row r="1698">
      <c r="B1698" t="inlineStr">
        <is>
          <t>07/22/2025</t>
        </is>
      </c>
      <c r="C1698" t="inlineStr">
        <is>
          <t>Expense</t>
        </is>
      </c>
      <c r="D1698" t="inlineStr"/>
      <c r="E1698" t="inlineStr">
        <is>
          <t>Bluepeak Engineering</t>
        </is>
      </c>
      <c r="F1698" t="inlineStr">
        <is>
          <t>Bluepeak Engineering invoice 61186</t>
        </is>
      </c>
      <c r="G1698" t="inlineStr">
        <is>
          <t>1010</t>
        </is>
      </c>
      <c r="H1698" t="inlineStr">
        <is>
          <t>Northgate Checking 7742</t>
        </is>
      </c>
      <c r="I1698" t="inlineStr">
        <is>
          <t>Product</t>
        </is>
      </c>
      <c r="K1698">
        <f>486.07</f>
        <v/>
      </c>
    </row>
    <row r="1699">
      <c r="A1699" t="inlineStr">
        <is>
          <t>Total for T-00336</t>
        </is>
      </c>
      <c r="J1699">
        <f>J1697</f>
        <v/>
      </c>
      <c r="K1699">
        <f>K1698</f>
        <v/>
      </c>
    </row>
    <row r="1700"/>
    <row r="1701">
      <c r="A1701" t="inlineStr">
        <is>
          <t>T-00310</t>
        </is>
      </c>
    </row>
    <row r="1702">
      <c r="B1702" t="inlineStr">
        <is>
          <t>07/23/2025</t>
        </is>
      </c>
      <c r="C1702" t="inlineStr">
        <is>
          <t>Expense</t>
        </is>
      </c>
      <c r="D1702" t="inlineStr"/>
      <c r="E1702" t="inlineStr">
        <is>
          <t>Litware Legal</t>
        </is>
      </c>
      <c r="F1702" t="inlineStr">
        <is>
          <t>Litware Legal invoice 13137</t>
        </is>
      </c>
      <c r="G1702" t="inlineStr">
        <is>
          <t>6800</t>
        </is>
      </c>
      <c r="H1702" t="inlineStr">
        <is>
          <t>Professional Fees</t>
        </is>
      </c>
      <c r="I1702" t="inlineStr">
        <is>
          <t>Overhead</t>
        </is>
      </c>
      <c r="J1702">
        <f>1389.81</f>
        <v/>
      </c>
    </row>
    <row r="1703">
      <c r="B1703" t="inlineStr">
        <is>
          <t>07/23/2025</t>
        </is>
      </c>
      <c r="C1703" t="inlineStr">
        <is>
          <t>Expense</t>
        </is>
      </c>
      <c r="D1703" t="inlineStr"/>
      <c r="E1703" t="inlineStr">
        <is>
          <t>Litware Legal</t>
        </is>
      </c>
      <c r="F1703" t="inlineStr">
        <is>
          <t>Litware Legal invoice 13137</t>
        </is>
      </c>
      <c r="G1703" t="inlineStr">
        <is>
          <t>1010</t>
        </is>
      </c>
      <c r="H1703" t="inlineStr">
        <is>
          <t>Northgate Checking 7742</t>
        </is>
      </c>
      <c r="I1703" t="inlineStr">
        <is>
          <t>Overhead</t>
        </is>
      </c>
      <c r="K1703">
        <f>1389.81</f>
        <v/>
      </c>
    </row>
    <row r="1704">
      <c r="A1704" t="inlineStr">
        <is>
          <t>Total for T-00310</t>
        </is>
      </c>
      <c r="J1704">
        <f>J1702</f>
        <v/>
      </c>
      <c r="K1704">
        <f>K1703</f>
        <v/>
      </c>
    </row>
    <row r="1705"/>
    <row r="1706">
      <c r="A1706" t="inlineStr">
        <is>
          <t>T-00331</t>
        </is>
      </c>
    </row>
    <row r="1707">
      <c r="B1707" t="inlineStr">
        <is>
          <t>07/25/2025</t>
        </is>
      </c>
      <c r="C1707" t="inlineStr">
        <is>
          <t>Expense</t>
        </is>
      </c>
      <c r="D1707" t="inlineStr"/>
      <c r="E1707" t="inlineStr">
        <is>
          <t>Bluepeak Engineering</t>
        </is>
      </c>
      <c r="F1707" t="inlineStr">
        <is>
          <t>Bluepeak Engineering invoice 36631</t>
        </is>
      </c>
      <c r="G1707" t="inlineStr">
        <is>
          <t>6100</t>
        </is>
      </c>
      <c r="H1707" t="inlineStr">
        <is>
          <t>Contract Engineering</t>
        </is>
      </c>
      <c r="I1707" t="inlineStr">
        <is>
          <t>Product</t>
        </is>
      </c>
      <c r="J1707">
        <f>1793.97</f>
        <v/>
      </c>
    </row>
    <row r="1708">
      <c r="B1708" t="inlineStr">
        <is>
          <t>07/25/2025</t>
        </is>
      </c>
      <c r="C1708" t="inlineStr">
        <is>
          <t>Expense</t>
        </is>
      </c>
      <c r="D1708" t="inlineStr"/>
      <c r="E1708" t="inlineStr">
        <is>
          <t>Bluepeak Engineering</t>
        </is>
      </c>
      <c r="F1708" t="inlineStr">
        <is>
          <t>Bluepeak Engineering invoice 36631</t>
        </is>
      </c>
      <c r="G1708" t="inlineStr">
        <is>
          <t>1010</t>
        </is>
      </c>
      <c r="H1708" t="inlineStr">
        <is>
          <t>Northgate Checking 7742</t>
        </is>
      </c>
      <c r="I1708" t="inlineStr">
        <is>
          <t>Product</t>
        </is>
      </c>
      <c r="K1708">
        <f>1793.97</f>
        <v/>
      </c>
    </row>
    <row r="1709">
      <c r="A1709" t="inlineStr">
        <is>
          <t>Total for T-00331</t>
        </is>
      </c>
      <c r="J1709">
        <f>J1707</f>
        <v/>
      </c>
      <c r="K1709">
        <f>K1708</f>
        <v/>
      </c>
    </row>
    <row r="1710"/>
    <row r="1711">
      <c r="A1711" t="inlineStr">
        <is>
          <t>T-00306</t>
        </is>
      </c>
    </row>
    <row r="1712">
      <c r="B1712" t="inlineStr">
        <is>
          <t>07/26/2025</t>
        </is>
      </c>
      <c r="C1712" t="inlineStr">
        <is>
          <t>Expense</t>
        </is>
      </c>
      <c r="D1712" t="inlineStr"/>
      <c r="E1712" t="inlineStr">
        <is>
          <t>Quartz CAD Services</t>
        </is>
      </c>
      <c r="F1712" t="inlineStr">
        <is>
          <t>Quartz CAD Services invoice 67026</t>
        </is>
      </c>
      <c r="G1712" t="inlineStr">
        <is>
          <t>6100</t>
        </is>
      </c>
      <c r="H1712" t="inlineStr">
        <is>
          <t>Contract Engineering</t>
        </is>
      </c>
      <c r="I1712" t="inlineStr">
        <is>
          <t>Product</t>
        </is>
      </c>
      <c r="J1712">
        <f>643.06</f>
        <v/>
      </c>
    </row>
    <row r="1713">
      <c r="B1713" t="inlineStr">
        <is>
          <t>07/26/2025</t>
        </is>
      </c>
      <c r="C1713" t="inlineStr">
        <is>
          <t>Expense</t>
        </is>
      </c>
      <c r="D1713" t="inlineStr"/>
      <c r="E1713" t="inlineStr">
        <is>
          <t>Quartz CAD Services</t>
        </is>
      </c>
      <c r="F1713" t="inlineStr">
        <is>
          <t>Quartz CAD Services invoice 67026</t>
        </is>
      </c>
      <c r="G1713" t="inlineStr">
        <is>
          <t>1010</t>
        </is>
      </c>
      <c r="H1713" t="inlineStr">
        <is>
          <t>Northgate Checking 7742</t>
        </is>
      </c>
      <c r="I1713" t="inlineStr">
        <is>
          <t>Product</t>
        </is>
      </c>
      <c r="K1713">
        <f>643.06</f>
        <v/>
      </c>
    </row>
    <row r="1714">
      <c r="A1714" t="inlineStr">
        <is>
          <t>Total for T-00306</t>
        </is>
      </c>
      <c r="J1714">
        <f>J1712</f>
        <v/>
      </c>
      <c r="K1714">
        <f>K1713</f>
        <v/>
      </c>
    </row>
    <row r="1715"/>
    <row r="1716">
      <c r="A1716" t="inlineStr">
        <is>
          <t>T-00299</t>
        </is>
      </c>
    </row>
    <row r="1717">
      <c r="B1717" t="inlineStr">
        <is>
          <t>07/31/2025</t>
        </is>
      </c>
      <c r="C1717" t="inlineStr">
        <is>
          <t>Expense</t>
        </is>
      </c>
      <c r="D1717" t="inlineStr"/>
      <c r="E1717" t="inlineStr">
        <is>
          <t>Proseware Payroll</t>
        </is>
      </c>
      <c r="F1717" t="inlineStr">
        <is>
          <t>Payroll 2025-07-31 gross wages</t>
        </is>
      </c>
      <c r="G1717" t="inlineStr">
        <is>
          <t>6000</t>
        </is>
      </c>
      <c r="H1717" t="inlineStr">
        <is>
          <t>Salaries and Wages</t>
        </is>
      </c>
      <c r="I1717" t="inlineStr">
        <is>
          <t>Overhead</t>
        </is>
      </c>
      <c r="J1717">
        <f>21700.00</f>
        <v/>
      </c>
    </row>
    <row r="1718">
      <c r="B1718" t="inlineStr">
        <is>
          <t>07/31/2025</t>
        </is>
      </c>
      <c r="C1718" t="inlineStr">
        <is>
          <t>Expense</t>
        </is>
      </c>
      <c r="D1718" t="inlineStr"/>
      <c r="E1718" t="inlineStr">
        <is>
          <t>Proseware Payroll</t>
        </is>
      </c>
      <c r="F1718" t="inlineStr">
        <is>
          <t>Payroll 2025-07-31 employer taxes</t>
        </is>
      </c>
      <c r="G1718" t="inlineStr">
        <is>
          <t>6010</t>
        </is>
      </c>
      <c r="H1718" t="inlineStr">
        <is>
          <t>Payroll Taxes</t>
        </is>
      </c>
      <c r="I1718" t="inlineStr">
        <is>
          <t>Overhead</t>
        </is>
      </c>
      <c r="J1718">
        <f>1660.05</f>
        <v/>
      </c>
    </row>
    <row r="1719">
      <c r="B1719" t="inlineStr">
        <is>
          <t>07/31/2025</t>
        </is>
      </c>
      <c r="C1719" t="inlineStr">
        <is>
          <t>Expense</t>
        </is>
      </c>
      <c r="D1719" t="inlineStr"/>
      <c r="E1719" t="inlineStr">
        <is>
          <t>Proseware Payroll</t>
        </is>
      </c>
      <c r="F1719" t="inlineStr">
        <is>
          <t>Proseware payroll debit 2025-07-31</t>
        </is>
      </c>
      <c r="G1719" t="inlineStr">
        <is>
          <t>1010</t>
        </is>
      </c>
      <c r="H1719" t="inlineStr">
        <is>
          <t>Northgate Checking 7742</t>
        </is>
      </c>
      <c r="I1719" t="inlineStr">
        <is>
          <t>Overhead</t>
        </is>
      </c>
      <c r="K1719">
        <f>23360.05</f>
        <v/>
      </c>
    </row>
    <row r="1720">
      <c r="A1720" t="inlineStr">
        <is>
          <t>Total for T-00299</t>
        </is>
      </c>
      <c r="J1720">
        <f>J1717+J1718</f>
        <v/>
      </c>
      <c r="K1720">
        <f>K1719</f>
        <v/>
      </c>
    </row>
    <row r="1721"/>
    <row r="1722">
      <c r="A1722" t="inlineStr">
        <is>
          <t>T-00301</t>
        </is>
      </c>
    </row>
    <row r="1723">
      <c r="B1723" t="inlineStr">
        <is>
          <t>07/31/2025</t>
        </is>
      </c>
      <c r="C1723" t="inlineStr">
        <is>
          <t>Deposit</t>
        </is>
      </c>
      <c r="D1723" t="inlineStr"/>
      <c r="E1723" t="inlineStr">
        <is>
          <t>Paylane</t>
        </is>
      </c>
      <c r="F1723" t="inlineStr">
        <is>
          <t>Paylane payout 2025-07 #2</t>
        </is>
      </c>
      <c r="G1723" t="inlineStr">
        <is>
          <t>1010</t>
        </is>
      </c>
      <c r="H1723" t="inlineStr">
        <is>
          <t>Northgate Checking 7742</t>
        </is>
      </c>
      <c r="I1723" t="inlineStr">
        <is>
          <t>Product</t>
        </is>
      </c>
      <c r="J1723">
        <f>14675.49</f>
        <v/>
      </c>
    </row>
    <row r="1724">
      <c r="B1724" t="inlineStr">
        <is>
          <t>07/31/2025</t>
        </is>
      </c>
      <c r="C1724" t="inlineStr">
        <is>
          <t>Deposit</t>
        </is>
      </c>
      <c r="D1724" t="inlineStr"/>
      <c r="E1724" t="inlineStr">
        <is>
          <t>Paylane</t>
        </is>
      </c>
      <c r="F1724" t="inlineStr">
        <is>
          <t>Paylane payout 2025-07 #2</t>
        </is>
      </c>
      <c r="G1724" t="inlineStr">
        <is>
          <t>1200</t>
        </is>
      </c>
      <c r="H1724" t="inlineStr">
        <is>
          <t>Paylane Clearing</t>
        </is>
      </c>
      <c r="I1724" t="inlineStr">
        <is>
          <t>Product</t>
        </is>
      </c>
      <c r="K1724">
        <f>14675.49</f>
        <v/>
      </c>
    </row>
    <row r="1725">
      <c r="A1725" t="inlineStr">
        <is>
          <t>Total for T-00301</t>
        </is>
      </c>
      <c r="J1725">
        <f>J1723</f>
        <v/>
      </c>
      <c r="K1725">
        <f>K1724</f>
        <v/>
      </c>
    </row>
    <row r="1726"/>
    <row r="1727">
      <c r="A1727" t="inlineStr">
        <is>
          <t>T-00302</t>
        </is>
      </c>
    </row>
    <row r="1728">
      <c r="B1728" t="inlineStr">
        <is>
          <t>07/31/2025</t>
        </is>
      </c>
      <c r="C1728" t="inlineStr">
        <is>
          <t>Journal Entry</t>
        </is>
      </c>
      <c r="D1728" t="inlineStr">
        <is>
          <t>JE-1029</t>
        </is>
      </c>
      <c r="E1728" t="inlineStr">
        <is>
          <t>Paylane</t>
        </is>
      </c>
      <c r="F1728" t="inlineStr">
        <is>
          <t>Paylane settlement 2025-07</t>
        </is>
      </c>
      <c r="G1728" t="inlineStr">
        <is>
          <t>1200</t>
        </is>
      </c>
      <c r="H1728" t="inlineStr">
        <is>
          <t>Paylane Clearing</t>
        </is>
      </c>
      <c r="I1728" t="inlineStr">
        <is>
          <t>Product</t>
        </is>
      </c>
      <c r="J1728">
        <f>32612.20</f>
        <v/>
      </c>
    </row>
    <row r="1729">
      <c r="B1729" t="inlineStr">
        <is>
          <t>07/31/2025</t>
        </is>
      </c>
      <c r="C1729" t="inlineStr">
        <is>
          <t>Journal Entry</t>
        </is>
      </c>
      <c r="D1729" t="inlineStr">
        <is>
          <t>JE-1029</t>
        </is>
      </c>
      <c r="E1729" t="inlineStr">
        <is>
          <t>Paylane</t>
        </is>
      </c>
      <c r="F1729" t="inlineStr">
        <is>
          <t>Paylane processing fees 2025-07, 58 charges</t>
        </is>
      </c>
      <c r="G1729" t="inlineStr">
        <is>
          <t>6950</t>
        </is>
      </c>
      <c r="H1729" t="inlineStr">
        <is>
          <t>Bank and Processor Fees</t>
        </is>
      </c>
      <c r="I1729" t="inlineStr">
        <is>
          <t>Overhead</t>
        </is>
      </c>
      <c r="J1729">
        <f>991.92</f>
        <v/>
      </c>
    </row>
    <row r="1730">
      <c r="B1730" t="inlineStr">
        <is>
          <t>07/31/2025</t>
        </is>
      </c>
      <c r="C1730" t="inlineStr">
        <is>
          <t>Journal Entry</t>
        </is>
      </c>
      <c r="D1730" t="inlineStr">
        <is>
          <t>JE-1029</t>
        </is>
      </c>
      <c r="E1730" t="inlineStr">
        <is>
          <t>Paylane</t>
        </is>
      </c>
      <c r="F1730" t="inlineStr">
        <is>
          <t>Paylane product sales 2025-07</t>
        </is>
      </c>
      <c r="G1730" t="inlineStr">
        <is>
          <t>4000</t>
        </is>
      </c>
      <c r="H1730" t="inlineStr">
        <is>
          <t>Product Revenue</t>
        </is>
      </c>
      <c r="I1730" t="inlineStr">
        <is>
          <t>Product</t>
        </is>
      </c>
      <c r="K1730">
        <f>33604.12</f>
        <v/>
      </c>
    </row>
    <row r="1731">
      <c r="A1731" t="inlineStr">
        <is>
          <t>Total for T-00302</t>
        </is>
      </c>
      <c r="J1731">
        <f>J1728+J1729</f>
        <v/>
      </c>
      <c r="K1731">
        <f>K1730</f>
        <v/>
      </c>
    </row>
    <row r="1732"/>
    <row r="1733">
      <c r="A1733" t="inlineStr">
        <is>
          <t>T-00342</t>
        </is>
      </c>
    </row>
    <row r="1734">
      <c r="B1734" t="inlineStr">
        <is>
          <t>07/31/2025</t>
        </is>
      </c>
      <c r="C1734" t="inlineStr">
        <is>
          <t>Expense</t>
        </is>
      </c>
      <c r="D1734" t="inlineStr"/>
      <c r="E1734" t="inlineStr">
        <is>
          <t>Northgate Bank</t>
        </is>
      </c>
      <c r="F1734" t="inlineStr">
        <is>
          <t>Account analysis fee 2025-07</t>
        </is>
      </c>
      <c r="G1734" t="inlineStr">
        <is>
          <t>6950</t>
        </is>
      </c>
      <c r="H1734" t="inlineStr">
        <is>
          <t>Bank and Processor Fees</t>
        </is>
      </c>
      <c r="I1734" t="inlineStr">
        <is>
          <t>Overhead</t>
        </is>
      </c>
      <c r="J1734">
        <f>45.00</f>
        <v/>
      </c>
    </row>
    <row r="1735">
      <c r="B1735" t="inlineStr">
        <is>
          <t>07/31/2025</t>
        </is>
      </c>
      <c r="C1735" t="inlineStr">
        <is>
          <t>Expense</t>
        </is>
      </c>
      <c r="D1735" t="inlineStr"/>
      <c r="E1735" t="inlineStr">
        <is>
          <t>Northgate Bank</t>
        </is>
      </c>
      <c r="F1735" t="inlineStr">
        <is>
          <t>Account analysis fee 2025-07</t>
        </is>
      </c>
      <c r="G1735" t="inlineStr">
        <is>
          <t>1010</t>
        </is>
      </c>
      <c r="H1735" t="inlineStr">
        <is>
          <t>Northgate Checking 7742</t>
        </is>
      </c>
      <c r="I1735" t="inlineStr">
        <is>
          <t>Overhead</t>
        </is>
      </c>
      <c r="K1735">
        <f>45.00</f>
        <v/>
      </c>
    </row>
    <row r="1736">
      <c r="A1736" t="inlineStr">
        <is>
          <t>Total for T-00342</t>
        </is>
      </c>
      <c r="J1736">
        <f>J1734</f>
        <v/>
      </c>
      <c r="K1736">
        <f>K1735</f>
        <v/>
      </c>
    </row>
    <row r="1737"/>
    <row r="1738">
      <c r="A1738" t="inlineStr">
        <is>
          <t>T-00343</t>
        </is>
      </c>
    </row>
    <row r="1739">
      <c r="B1739" t="inlineStr">
        <is>
          <t>07/31/2025</t>
        </is>
      </c>
      <c r="C1739" t="inlineStr">
        <is>
          <t>Deposit</t>
        </is>
      </c>
      <c r="D1739" t="inlineStr"/>
      <c r="E1739" t="inlineStr">
        <is>
          <t>Northgate Bank</t>
        </is>
      </c>
      <c r="F1739" t="inlineStr">
        <is>
          <t>Savings interest 2025-07</t>
        </is>
      </c>
      <c r="G1739" t="inlineStr">
        <is>
          <t>1020</t>
        </is>
      </c>
      <c r="H1739" t="inlineStr">
        <is>
          <t>Northgate Savings 7809</t>
        </is>
      </c>
      <c r="I1739" t="inlineStr">
        <is>
          <t>Overhead</t>
        </is>
      </c>
      <c r="J1739">
        <f>14.02</f>
        <v/>
      </c>
    </row>
    <row r="1740">
      <c r="B1740" t="inlineStr">
        <is>
          <t>07/31/2025</t>
        </is>
      </c>
      <c r="C1740" t="inlineStr">
        <is>
          <t>Deposit</t>
        </is>
      </c>
      <c r="D1740" t="inlineStr"/>
      <c r="E1740" t="inlineStr">
        <is>
          <t>Northgate Bank</t>
        </is>
      </c>
      <c r="F1740" t="inlineStr">
        <is>
          <t>Savings interest 2025-07</t>
        </is>
      </c>
      <c r="G1740" t="inlineStr">
        <is>
          <t>4900</t>
        </is>
      </c>
      <c r="H1740" t="inlineStr">
        <is>
          <t>Interest Income</t>
        </is>
      </c>
      <c r="I1740" t="inlineStr">
        <is>
          <t>Overhead</t>
        </is>
      </c>
      <c r="K1740">
        <f>14.02</f>
        <v/>
      </c>
    </row>
    <row r="1741">
      <c r="A1741" t="inlineStr">
        <is>
          <t>Total for T-00343</t>
        </is>
      </c>
      <c r="J1741">
        <f>J1739</f>
        <v/>
      </c>
      <c r="K1741">
        <f>K1740</f>
        <v/>
      </c>
    </row>
    <row r="1742"/>
    <row r="1743">
      <c r="A1743" t="inlineStr">
        <is>
          <t>T-00344</t>
        </is>
      </c>
    </row>
    <row r="1744">
      <c r="B1744" t="inlineStr">
        <is>
          <t>07/31/2025</t>
        </is>
      </c>
      <c r="C1744" t="inlineStr">
        <is>
          <t>Journal Entry</t>
        </is>
      </c>
      <c r="D1744" t="inlineStr">
        <is>
          <t>JE-1030</t>
        </is>
      </c>
      <c r="E1744" t="inlineStr">
        <is>
          <t>Tailspin Tools</t>
        </is>
      </c>
      <c r="F1744" t="inlineStr">
        <is>
          <t>Software 2025-07</t>
        </is>
      </c>
      <c r="G1744" t="inlineStr">
        <is>
          <t>6200</t>
        </is>
      </c>
      <c r="H1744" t="inlineStr">
        <is>
          <t>Software Subscriptions</t>
        </is>
      </c>
      <c r="I1744" t="inlineStr">
        <is>
          <t>Overhead</t>
        </is>
      </c>
      <c r="J1744">
        <f>800.00</f>
        <v/>
      </c>
    </row>
    <row r="1745">
      <c r="B1745" t="inlineStr">
        <is>
          <t>07/31/2025</t>
        </is>
      </c>
      <c r="C1745" t="inlineStr">
        <is>
          <t>Journal Entry</t>
        </is>
      </c>
      <c r="D1745" t="inlineStr">
        <is>
          <t>JE-1030</t>
        </is>
      </c>
      <c r="E1745" t="inlineStr">
        <is>
          <t>Tailspin Tools</t>
        </is>
      </c>
      <c r="F1745" t="inlineStr">
        <is>
          <t>Software 2025-07</t>
        </is>
      </c>
      <c r="G1745" t="inlineStr">
        <is>
          <t>1310</t>
        </is>
      </c>
      <c r="H1745" t="inlineStr">
        <is>
          <t>Prepaid Software</t>
        </is>
      </c>
      <c r="I1745" t="inlineStr">
        <is>
          <t>Overhead</t>
        </is>
      </c>
      <c r="K1745">
        <f>800.00</f>
        <v/>
      </c>
    </row>
    <row r="1746">
      <c r="A1746" t="inlineStr">
        <is>
          <t>Total for T-00344</t>
        </is>
      </c>
      <c r="J1746">
        <f>J1744</f>
        <v/>
      </c>
      <c r="K1746">
        <f>K1745</f>
        <v/>
      </c>
    </row>
    <row r="1747"/>
    <row r="1748">
      <c r="A1748" t="inlineStr">
        <is>
          <t>T-00345</t>
        </is>
      </c>
    </row>
    <row r="1749">
      <c r="B1749" t="inlineStr">
        <is>
          <t>07/31/2025</t>
        </is>
      </c>
      <c r="C1749" t="inlineStr">
        <is>
          <t>Journal Entry</t>
        </is>
      </c>
      <c r="D1749" t="inlineStr">
        <is>
          <t>JE-1031</t>
        </is>
      </c>
      <c r="E1749" t="inlineStr">
        <is>
          <t>Orion Design Works</t>
        </is>
      </c>
      <c r="F1749" t="inlineStr">
        <is>
          <t>Design license 2025-07</t>
        </is>
      </c>
      <c r="G1749" t="inlineStr">
        <is>
          <t>7100</t>
        </is>
      </c>
      <c r="H1749" t="inlineStr">
        <is>
          <t>Amortization Expense</t>
        </is>
      </c>
      <c r="I1749" t="inlineStr">
        <is>
          <t>Product</t>
        </is>
      </c>
      <c r="J1749">
        <f>1000.00</f>
        <v/>
      </c>
    </row>
    <row r="1750">
      <c r="B1750" t="inlineStr">
        <is>
          <t>07/31/2025</t>
        </is>
      </c>
      <c r="C1750" t="inlineStr">
        <is>
          <t>Journal Entry</t>
        </is>
      </c>
      <c r="D1750" t="inlineStr">
        <is>
          <t>JE-1031</t>
        </is>
      </c>
      <c r="E1750" t="inlineStr">
        <is>
          <t>Orion Design Works</t>
        </is>
      </c>
      <c r="F1750" t="inlineStr">
        <is>
          <t>Design license 2025-07</t>
        </is>
      </c>
      <c r="G1750" t="inlineStr">
        <is>
          <t>1610</t>
        </is>
      </c>
      <c r="H1750" t="inlineStr">
        <is>
          <t>Accumulated Amortization - Design License</t>
        </is>
      </c>
      <c r="I1750" t="inlineStr">
        <is>
          <t>Product</t>
        </is>
      </c>
      <c r="K1750">
        <f>1000.00</f>
        <v/>
      </c>
    </row>
    <row r="1751">
      <c r="A1751" t="inlineStr">
        <is>
          <t>Total for T-00345</t>
        </is>
      </c>
      <c r="J1751">
        <f>J1749</f>
        <v/>
      </c>
      <c r="K1751">
        <f>K1750</f>
        <v/>
      </c>
    </row>
    <row r="1752"/>
    <row r="1753">
      <c r="A1753" t="inlineStr">
        <is>
          <t>T-00346</t>
        </is>
      </c>
    </row>
    <row r="1754">
      <c r="B1754" t="inlineStr">
        <is>
          <t>07/31/2025</t>
        </is>
      </c>
      <c r="C1754" t="inlineStr">
        <is>
          <t>Journal Entry</t>
        </is>
      </c>
      <c r="D1754" t="inlineStr">
        <is>
          <t>JE-1032</t>
        </is>
      </c>
      <c r="E1754" t="inlineStr"/>
      <c r="F1754" t="inlineStr">
        <is>
          <t>Depreciation 2025-07</t>
        </is>
      </c>
      <c r="G1754" t="inlineStr">
        <is>
          <t>7000</t>
        </is>
      </c>
      <c r="H1754" t="inlineStr">
        <is>
          <t>Depreciation Expense</t>
        </is>
      </c>
      <c r="I1754" t="inlineStr">
        <is>
          <t>Product</t>
        </is>
      </c>
      <c r="J1754">
        <f>800.00</f>
        <v/>
      </c>
    </row>
    <row r="1755">
      <c r="B1755" t="inlineStr">
        <is>
          <t>07/31/2025</t>
        </is>
      </c>
      <c r="C1755" t="inlineStr">
        <is>
          <t>Journal Entry</t>
        </is>
      </c>
      <c r="D1755" t="inlineStr">
        <is>
          <t>JE-1032</t>
        </is>
      </c>
      <c r="E1755" t="inlineStr"/>
      <c r="F1755" t="inlineStr">
        <is>
          <t>Depreciation 2025-07</t>
        </is>
      </c>
      <c r="G1755" t="inlineStr">
        <is>
          <t>1510</t>
        </is>
      </c>
      <c r="H1755" t="inlineStr">
        <is>
          <t>Accumulated Depreciation</t>
        </is>
      </c>
      <c r="I1755" t="inlineStr">
        <is>
          <t>Product</t>
        </is>
      </c>
      <c r="K1755">
        <f>800.00</f>
        <v/>
      </c>
    </row>
    <row r="1756">
      <c r="A1756" t="inlineStr">
        <is>
          <t>Total for T-00346</t>
        </is>
      </c>
      <c r="J1756">
        <f>J1754</f>
        <v/>
      </c>
      <c r="K1756">
        <f>K1755</f>
        <v/>
      </c>
    </row>
    <row r="1757"/>
    <row r="1758">
      <c r="A1758" t="inlineStr">
        <is>
          <t>T-00347</t>
        </is>
      </c>
    </row>
    <row r="1759">
      <c r="B1759" t="inlineStr">
        <is>
          <t>08/01/2025</t>
        </is>
      </c>
      <c r="C1759" t="inlineStr">
        <is>
          <t>Expense</t>
        </is>
      </c>
      <c r="D1759" t="inlineStr"/>
      <c r="E1759" t="inlineStr">
        <is>
          <t>Wingtip Workspace</t>
        </is>
      </c>
      <c r="F1759" t="inlineStr">
        <is>
          <t>Office rent 2025-08</t>
        </is>
      </c>
      <c r="G1759" t="inlineStr">
        <is>
          <t>6400</t>
        </is>
      </c>
      <c r="H1759" t="inlineStr">
        <is>
          <t>Rent</t>
        </is>
      </c>
      <c r="I1759" t="inlineStr">
        <is>
          <t>Overhead</t>
        </is>
      </c>
      <c r="J1759">
        <f>6500.00</f>
        <v/>
      </c>
    </row>
    <row r="1760">
      <c r="B1760" t="inlineStr">
        <is>
          <t>08/01/2025</t>
        </is>
      </c>
      <c r="C1760" t="inlineStr">
        <is>
          <t>Expense</t>
        </is>
      </c>
      <c r="D1760" t="inlineStr"/>
      <c r="E1760" t="inlineStr">
        <is>
          <t>Wingtip Workspace</t>
        </is>
      </c>
      <c r="F1760" t="inlineStr">
        <is>
          <t>Office rent 2025-08</t>
        </is>
      </c>
      <c r="G1760" t="inlineStr">
        <is>
          <t>1010</t>
        </is>
      </c>
      <c r="H1760" t="inlineStr">
        <is>
          <t>Northgate Checking 7742</t>
        </is>
      </c>
      <c r="I1760" t="inlineStr">
        <is>
          <t>Overhead</t>
        </is>
      </c>
      <c r="K1760">
        <f>6500.00</f>
        <v/>
      </c>
    </row>
    <row r="1761">
      <c r="A1761" t="inlineStr">
        <is>
          <t>Total for T-00347</t>
        </is>
      </c>
      <c r="J1761">
        <f>J1759</f>
        <v/>
      </c>
      <c r="K1761">
        <f>K1760</f>
        <v/>
      </c>
    </row>
    <row r="1762"/>
    <row r="1763">
      <c r="A1763" t="inlineStr">
        <is>
          <t>T-00367</t>
        </is>
      </c>
    </row>
    <row r="1764">
      <c r="B1764" t="inlineStr">
        <is>
          <t>08/02/2025</t>
        </is>
      </c>
      <c r="C1764" t="inlineStr">
        <is>
          <t>Expense</t>
        </is>
      </c>
      <c r="D1764" t="inlineStr"/>
      <c r="E1764" t="inlineStr">
        <is>
          <t>Quartz CAD Services</t>
        </is>
      </c>
      <c r="F1764" t="inlineStr">
        <is>
          <t>Quartz CAD Services invoice 12081</t>
        </is>
      </c>
      <c r="G1764" t="inlineStr">
        <is>
          <t>6100</t>
        </is>
      </c>
      <c r="H1764" t="inlineStr">
        <is>
          <t>Contract Engineering</t>
        </is>
      </c>
      <c r="I1764" t="inlineStr">
        <is>
          <t>Product</t>
        </is>
      </c>
      <c r="J1764">
        <f>190.88</f>
        <v/>
      </c>
    </row>
    <row r="1765">
      <c r="B1765" t="inlineStr">
        <is>
          <t>08/02/2025</t>
        </is>
      </c>
      <c r="C1765" t="inlineStr">
        <is>
          <t>Expense</t>
        </is>
      </c>
      <c r="D1765" t="inlineStr"/>
      <c r="E1765" t="inlineStr">
        <is>
          <t>Quartz CAD Services</t>
        </is>
      </c>
      <c r="F1765" t="inlineStr">
        <is>
          <t>Quartz CAD Services invoice 12081</t>
        </is>
      </c>
      <c r="G1765" t="inlineStr">
        <is>
          <t>1010</t>
        </is>
      </c>
      <c r="H1765" t="inlineStr">
        <is>
          <t>Northgate Checking 7742</t>
        </is>
      </c>
      <c r="I1765" t="inlineStr">
        <is>
          <t>Product</t>
        </is>
      </c>
      <c r="K1765">
        <f>190.88</f>
        <v/>
      </c>
    </row>
    <row r="1766">
      <c r="A1766" t="inlineStr">
        <is>
          <t>Total for T-00367</t>
        </is>
      </c>
      <c r="J1766">
        <f>J1764</f>
        <v/>
      </c>
      <c r="K1766">
        <f>K1765</f>
        <v/>
      </c>
    </row>
    <row r="1767"/>
    <row r="1768">
      <c r="A1768" t="inlineStr">
        <is>
          <t>T-00374</t>
        </is>
      </c>
    </row>
    <row r="1769">
      <c r="B1769" t="inlineStr">
        <is>
          <t>08/02/2025</t>
        </is>
      </c>
      <c r="C1769" t="inlineStr">
        <is>
          <t>Expense</t>
        </is>
      </c>
      <c r="D1769" t="inlineStr"/>
      <c r="E1769" t="inlineStr">
        <is>
          <t>Bluepeak Engineering</t>
        </is>
      </c>
      <c r="F1769" t="inlineStr">
        <is>
          <t>Bluepeak Engineering invoice 56382</t>
        </is>
      </c>
      <c r="G1769" t="inlineStr">
        <is>
          <t>6100</t>
        </is>
      </c>
      <c r="H1769" t="inlineStr">
        <is>
          <t>Contract Engineering</t>
        </is>
      </c>
      <c r="I1769" t="inlineStr">
        <is>
          <t>Product</t>
        </is>
      </c>
      <c r="J1769">
        <f>1093.11</f>
        <v/>
      </c>
    </row>
    <row r="1770">
      <c r="B1770" t="inlineStr">
        <is>
          <t>08/02/2025</t>
        </is>
      </c>
      <c r="C1770" t="inlineStr">
        <is>
          <t>Expense</t>
        </is>
      </c>
      <c r="D1770" t="inlineStr"/>
      <c r="E1770" t="inlineStr">
        <is>
          <t>Bluepeak Engineering</t>
        </is>
      </c>
      <c r="F1770" t="inlineStr">
        <is>
          <t>Bluepeak Engineering invoice 56382</t>
        </is>
      </c>
      <c r="G1770" t="inlineStr">
        <is>
          <t>1010</t>
        </is>
      </c>
      <c r="H1770" t="inlineStr">
        <is>
          <t>Northgate Checking 7742</t>
        </is>
      </c>
      <c r="I1770" t="inlineStr">
        <is>
          <t>Product</t>
        </is>
      </c>
      <c r="K1770">
        <f>1093.11</f>
        <v/>
      </c>
    </row>
    <row r="1771">
      <c r="A1771" t="inlineStr">
        <is>
          <t>Total for T-00374</t>
        </is>
      </c>
      <c r="J1771">
        <f>J1769</f>
        <v/>
      </c>
      <c r="K1771">
        <f>K1770</f>
        <v/>
      </c>
    </row>
    <row r="1772"/>
    <row r="1773">
      <c r="A1773" t="inlineStr">
        <is>
          <t>T-00364</t>
        </is>
      </c>
    </row>
    <row r="1774">
      <c r="B1774" t="inlineStr">
        <is>
          <t>08/03/2025</t>
        </is>
      </c>
      <c r="C1774" t="inlineStr">
        <is>
          <t>Expense</t>
        </is>
      </c>
      <c r="D1774" t="inlineStr"/>
      <c r="E1774" t="inlineStr">
        <is>
          <t>Litware Legal</t>
        </is>
      </c>
      <c r="F1774" t="inlineStr">
        <is>
          <t>Litware Legal invoice 91552</t>
        </is>
      </c>
      <c r="G1774" t="inlineStr">
        <is>
          <t>6800</t>
        </is>
      </c>
      <c r="H1774" t="inlineStr">
        <is>
          <t>Professional Fees</t>
        </is>
      </c>
      <c r="I1774" t="inlineStr">
        <is>
          <t>Overhead</t>
        </is>
      </c>
      <c r="J1774">
        <f>498.28</f>
        <v/>
      </c>
    </row>
    <row r="1775">
      <c r="B1775" t="inlineStr">
        <is>
          <t>08/03/2025</t>
        </is>
      </c>
      <c r="C1775" t="inlineStr">
        <is>
          <t>Expense</t>
        </is>
      </c>
      <c r="D1775" t="inlineStr"/>
      <c r="E1775" t="inlineStr">
        <is>
          <t>Litware Legal</t>
        </is>
      </c>
      <c r="F1775" t="inlineStr">
        <is>
          <t>Litware Legal invoice 91552</t>
        </is>
      </c>
      <c r="G1775" t="inlineStr">
        <is>
          <t>1010</t>
        </is>
      </c>
      <c r="H1775" t="inlineStr">
        <is>
          <t>Northgate Checking 7742</t>
        </is>
      </c>
      <c r="I1775" t="inlineStr">
        <is>
          <t>Overhead</t>
        </is>
      </c>
      <c r="K1775">
        <f>498.28</f>
        <v/>
      </c>
    </row>
    <row r="1776">
      <c r="A1776" t="inlineStr">
        <is>
          <t>Total for T-00364</t>
        </is>
      </c>
      <c r="J1776">
        <f>J1774</f>
        <v/>
      </c>
      <c r="K1776">
        <f>K1775</f>
        <v/>
      </c>
    </row>
    <row r="1777"/>
    <row r="1778">
      <c r="A1778" t="inlineStr">
        <is>
          <t>T-00363</t>
        </is>
      </c>
    </row>
    <row r="1779">
      <c r="B1779" t="inlineStr">
        <is>
          <t>08/04/2025</t>
        </is>
      </c>
      <c r="C1779" t="inlineStr">
        <is>
          <t>Expense</t>
        </is>
      </c>
      <c r="D1779" t="inlineStr"/>
      <c r="E1779" t="inlineStr">
        <is>
          <t>Northwind Supply</t>
        </is>
      </c>
      <c r="F1779" t="inlineStr">
        <is>
          <t>Northwind Supply invoice 19059</t>
        </is>
      </c>
      <c r="G1779" t="inlineStr">
        <is>
          <t>5000</t>
        </is>
      </c>
      <c r="H1779" t="inlineStr">
        <is>
          <t>Cost of Goods Sold - Components</t>
        </is>
      </c>
      <c r="I1779" t="inlineStr">
        <is>
          <t>Product</t>
        </is>
      </c>
      <c r="J1779">
        <f>1157.89</f>
        <v/>
      </c>
    </row>
    <row r="1780">
      <c r="B1780" t="inlineStr">
        <is>
          <t>08/04/2025</t>
        </is>
      </c>
      <c r="C1780" t="inlineStr">
        <is>
          <t>Expense</t>
        </is>
      </c>
      <c r="D1780" t="inlineStr"/>
      <c r="E1780" t="inlineStr">
        <is>
          <t>Northwind Supply</t>
        </is>
      </c>
      <c r="F1780" t="inlineStr">
        <is>
          <t>Northwind Supply invoice 19059</t>
        </is>
      </c>
      <c r="G1780" t="inlineStr">
        <is>
          <t>1010</t>
        </is>
      </c>
      <c r="H1780" t="inlineStr">
        <is>
          <t>Northgate Checking 7742</t>
        </is>
      </c>
      <c r="I1780" t="inlineStr">
        <is>
          <t>Product</t>
        </is>
      </c>
      <c r="K1780">
        <f>1157.89</f>
        <v/>
      </c>
    </row>
    <row r="1781">
      <c r="A1781" t="inlineStr">
        <is>
          <t>Total for T-00363</t>
        </is>
      </c>
      <c r="J1781">
        <f>J1779</f>
        <v/>
      </c>
      <c r="K1781">
        <f>K1780</f>
        <v/>
      </c>
    </row>
    <row r="1782"/>
    <row r="1783">
      <c r="A1783" t="inlineStr">
        <is>
          <t>T-00366</t>
        </is>
      </c>
    </row>
    <row r="1784">
      <c r="B1784" t="inlineStr">
        <is>
          <t>08/04/2025</t>
        </is>
      </c>
      <c r="C1784" t="inlineStr">
        <is>
          <t>Expense</t>
        </is>
      </c>
      <c r="D1784" t="inlineStr"/>
      <c r="E1784" t="inlineStr">
        <is>
          <t>Quartz CAD Services</t>
        </is>
      </c>
      <c r="F1784" t="inlineStr">
        <is>
          <t>Quartz CAD Services invoice 67740</t>
        </is>
      </c>
      <c r="G1784" t="inlineStr">
        <is>
          <t>6100</t>
        </is>
      </c>
      <c r="H1784" t="inlineStr">
        <is>
          <t>Contract Engineering</t>
        </is>
      </c>
      <c r="I1784" t="inlineStr">
        <is>
          <t>Product</t>
        </is>
      </c>
      <c r="J1784">
        <f>808.40</f>
        <v/>
      </c>
    </row>
    <row r="1785">
      <c r="B1785" t="inlineStr">
        <is>
          <t>08/04/2025</t>
        </is>
      </c>
      <c r="C1785" t="inlineStr">
        <is>
          <t>Expense</t>
        </is>
      </c>
      <c r="D1785" t="inlineStr"/>
      <c r="E1785" t="inlineStr">
        <is>
          <t>Quartz CAD Services</t>
        </is>
      </c>
      <c r="F1785" t="inlineStr">
        <is>
          <t>Quartz CAD Services invoice 67740</t>
        </is>
      </c>
      <c r="G1785" t="inlineStr">
        <is>
          <t>1010</t>
        </is>
      </c>
      <c r="H1785" t="inlineStr">
        <is>
          <t>Northgate Checking 7742</t>
        </is>
      </c>
      <c r="I1785" t="inlineStr">
        <is>
          <t>Product</t>
        </is>
      </c>
      <c r="K1785">
        <f>808.40</f>
        <v/>
      </c>
    </row>
    <row r="1786">
      <c r="A1786" t="inlineStr">
        <is>
          <t>Total for T-00366</t>
        </is>
      </c>
      <c r="J1786">
        <f>J1784</f>
        <v/>
      </c>
      <c r="K1786">
        <f>K1785</f>
        <v/>
      </c>
    </row>
    <row r="1787"/>
    <row r="1788">
      <c r="A1788" t="inlineStr">
        <is>
          <t>T-00370</t>
        </is>
      </c>
    </row>
    <row r="1789">
      <c r="B1789" t="inlineStr">
        <is>
          <t>08/04/2025</t>
        </is>
      </c>
      <c r="C1789" t="inlineStr">
        <is>
          <t>Expense</t>
        </is>
      </c>
      <c r="D1789" t="inlineStr"/>
      <c r="E1789" t="inlineStr">
        <is>
          <t>Northwind Supply</t>
        </is>
      </c>
      <c r="F1789" t="inlineStr">
        <is>
          <t>Northwind Supply invoice 22668</t>
        </is>
      </c>
      <c r="G1789" t="inlineStr">
        <is>
          <t>5000</t>
        </is>
      </c>
      <c r="H1789" t="inlineStr">
        <is>
          <t>Cost of Goods Sold - Components</t>
        </is>
      </c>
      <c r="I1789" t="inlineStr">
        <is>
          <t>Product</t>
        </is>
      </c>
      <c r="J1789">
        <f>541.57</f>
        <v/>
      </c>
    </row>
    <row r="1790">
      <c r="B1790" t="inlineStr">
        <is>
          <t>08/04/2025</t>
        </is>
      </c>
      <c r="C1790" t="inlineStr">
        <is>
          <t>Expense</t>
        </is>
      </c>
      <c r="D1790" t="inlineStr"/>
      <c r="E1790" t="inlineStr">
        <is>
          <t>Northwind Supply</t>
        </is>
      </c>
      <c r="F1790" t="inlineStr">
        <is>
          <t>Northwind Supply invoice 22668</t>
        </is>
      </c>
      <c r="G1790" t="inlineStr">
        <is>
          <t>1010</t>
        </is>
      </c>
      <c r="H1790" t="inlineStr">
        <is>
          <t>Northgate Checking 7742</t>
        </is>
      </c>
      <c r="I1790" t="inlineStr">
        <is>
          <t>Product</t>
        </is>
      </c>
      <c r="K1790">
        <f>541.57</f>
        <v/>
      </c>
    </row>
    <row r="1791">
      <c r="A1791" t="inlineStr">
        <is>
          <t>Total for T-00370</t>
        </is>
      </c>
      <c r="J1791">
        <f>J1789</f>
        <v/>
      </c>
      <c r="K1791">
        <f>K1790</f>
        <v/>
      </c>
    </row>
    <row r="1792"/>
    <row r="1793">
      <c r="A1793" t="inlineStr">
        <is>
          <t>T-00383</t>
        </is>
      </c>
    </row>
    <row r="1794">
      <c r="B1794" t="inlineStr">
        <is>
          <t>08/04/2025</t>
        </is>
      </c>
      <c r="C1794" t="inlineStr">
        <is>
          <t>Expense</t>
        </is>
      </c>
      <c r="D1794" t="inlineStr"/>
      <c r="E1794" t="inlineStr">
        <is>
          <t>Fabrikam Freight</t>
        </is>
      </c>
      <c r="F1794" t="inlineStr">
        <is>
          <t>Fabrikam Freight invoice 92616</t>
        </is>
      </c>
      <c r="G1794" t="inlineStr">
        <is>
          <t>5100</t>
        </is>
      </c>
      <c r="H1794" t="inlineStr">
        <is>
          <t>Shipping and Freight</t>
        </is>
      </c>
      <c r="I1794" t="inlineStr">
        <is>
          <t>Product</t>
        </is>
      </c>
      <c r="J1794">
        <f>761.97</f>
        <v/>
      </c>
    </row>
    <row r="1795">
      <c r="B1795" t="inlineStr">
        <is>
          <t>08/04/2025</t>
        </is>
      </c>
      <c r="C1795" t="inlineStr">
        <is>
          <t>Expense</t>
        </is>
      </c>
      <c r="D1795" t="inlineStr"/>
      <c r="E1795" t="inlineStr">
        <is>
          <t>Fabrikam Freight</t>
        </is>
      </c>
      <c r="F1795" t="inlineStr">
        <is>
          <t>Fabrikam Freight invoice 92616</t>
        </is>
      </c>
      <c r="G1795" t="inlineStr">
        <is>
          <t>1010</t>
        </is>
      </c>
      <c r="H1795" t="inlineStr">
        <is>
          <t>Northgate Checking 7742</t>
        </is>
      </c>
      <c r="I1795" t="inlineStr">
        <is>
          <t>Product</t>
        </is>
      </c>
      <c r="K1795">
        <f>761.97</f>
        <v/>
      </c>
    </row>
    <row r="1796">
      <c r="A1796" t="inlineStr">
        <is>
          <t>Total for T-00383</t>
        </is>
      </c>
      <c r="J1796">
        <f>J1794</f>
        <v/>
      </c>
      <c r="K1796">
        <f>K1795</f>
        <v/>
      </c>
    </row>
    <row r="1797"/>
    <row r="1798">
      <c r="A1798" t="inlineStr">
        <is>
          <t>T-00348</t>
        </is>
      </c>
    </row>
    <row r="1799">
      <c r="B1799" t="inlineStr">
        <is>
          <t>08/05/2025</t>
        </is>
      </c>
      <c r="C1799" t="inlineStr">
        <is>
          <t>Expense</t>
        </is>
      </c>
      <c r="D1799" t="inlineStr"/>
      <c r="E1799" t="inlineStr">
        <is>
          <t>Vantage Card</t>
        </is>
      </c>
      <c r="F1799" t="inlineStr">
        <is>
          <t>Vantage card payment</t>
        </is>
      </c>
      <c r="G1799" t="inlineStr">
        <is>
          <t>2100</t>
        </is>
      </c>
      <c r="H1799" t="inlineStr">
        <is>
          <t>Vantage Card 3391</t>
        </is>
      </c>
      <c r="I1799" t="inlineStr">
        <is>
          <t>Overhead</t>
        </is>
      </c>
      <c r="J1799">
        <f>11377.24</f>
        <v/>
      </c>
    </row>
    <row r="1800">
      <c r="B1800" t="inlineStr">
        <is>
          <t>08/05/2025</t>
        </is>
      </c>
      <c r="C1800" t="inlineStr">
        <is>
          <t>Expense</t>
        </is>
      </c>
      <c r="D1800" t="inlineStr"/>
      <c r="E1800" t="inlineStr">
        <is>
          <t>Vantage Card</t>
        </is>
      </c>
      <c r="F1800" t="inlineStr">
        <is>
          <t>Vantage card payment</t>
        </is>
      </c>
      <c r="G1800" t="inlineStr">
        <is>
          <t>1010</t>
        </is>
      </c>
      <c r="H1800" t="inlineStr">
        <is>
          <t>Northgate Checking 7742</t>
        </is>
      </c>
      <c r="I1800" t="inlineStr">
        <is>
          <t>Overhead</t>
        </is>
      </c>
      <c r="K1800">
        <f>11377.24</f>
        <v/>
      </c>
    </row>
    <row r="1801">
      <c r="A1801" t="inlineStr">
        <is>
          <t>Total for T-00348</t>
        </is>
      </c>
      <c r="J1801">
        <f>J1799</f>
        <v/>
      </c>
      <c r="K1801">
        <f>K1800</f>
        <v/>
      </c>
    </row>
    <row r="1802"/>
    <row r="1803">
      <c r="A1803" t="inlineStr">
        <is>
          <t>T-00349</t>
        </is>
      </c>
    </row>
    <row r="1804">
      <c r="B1804" t="inlineStr">
        <is>
          <t>08/05/2025</t>
        </is>
      </c>
      <c r="C1804" t="inlineStr">
        <is>
          <t>Transfer</t>
        </is>
      </c>
      <c r="D1804" t="inlineStr"/>
      <c r="E1804" t="inlineStr"/>
      <c r="F1804" t="inlineStr">
        <is>
          <t>Transfer to savings</t>
        </is>
      </c>
      <c r="G1804" t="inlineStr">
        <is>
          <t>1020</t>
        </is>
      </c>
      <c r="H1804" t="inlineStr">
        <is>
          <t>Northgate Savings 7809</t>
        </is>
      </c>
      <c r="I1804" t="inlineStr">
        <is>
          <t>Overhead</t>
        </is>
      </c>
      <c r="J1804">
        <f>5000.00</f>
        <v/>
      </c>
    </row>
    <row r="1805">
      <c r="B1805" t="inlineStr">
        <is>
          <t>08/05/2025</t>
        </is>
      </c>
      <c r="C1805" t="inlineStr">
        <is>
          <t>Transfer</t>
        </is>
      </c>
      <c r="D1805" t="inlineStr"/>
      <c r="E1805" t="inlineStr"/>
      <c r="F1805" t="inlineStr">
        <is>
          <t>Transfer to savings</t>
        </is>
      </c>
      <c r="G1805" t="inlineStr">
        <is>
          <t>1010</t>
        </is>
      </c>
      <c r="H1805" t="inlineStr">
        <is>
          <t>Northgate Checking 7742</t>
        </is>
      </c>
      <c r="I1805" t="inlineStr">
        <is>
          <t>Overhead</t>
        </is>
      </c>
      <c r="K1805">
        <f>5000.00</f>
        <v/>
      </c>
    </row>
    <row r="1806">
      <c r="A1806" t="inlineStr">
        <is>
          <t>Total for T-00349</t>
        </is>
      </c>
      <c r="J1806">
        <f>J1804</f>
        <v/>
      </c>
      <c r="K1806">
        <f>K1805</f>
        <v/>
      </c>
    </row>
    <row r="1807"/>
    <row r="1808">
      <c r="A1808" t="inlineStr">
        <is>
          <t>T-00373</t>
        </is>
      </c>
    </row>
    <row r="1809">
      <c r="B1809" t="inlineStr">
        <is>
          <t>08/05/2025</t>
        </is>
      </c>
      <c r="C1809" t="inlineStr">
        <is>
          <t>Expense</t>
        </is>
      </c>
      <c r="D1809" t="inlineStr"/>
      <c r="E1809" t="inlineStr">
        <is>
          <t>Northwind Supply</t>
        </is>
      </c>
      <c r="F1809" t="inlineStr">
        <is>
          <t>Northwind Supply invoice 72369</t>
        </is>
      </c>
      <c r="G1809" t="inlineStr">
        <is>
          <t>5000</t>
        </is>
      </c>
      <c r="H1809" t="inlineStr">
        <is>
          <t>Cost of Goods Sold - Components</t>
        </is>
      </c>
      <c r="I1809" t="inlineStr">
        <is>
          <t>Product</t>
        </is>
      </c>
      <c r="J1809">
        <f>284.19</f>
        <v/>
      </c>
    </row>
    <row r="1810">
      <c r="B1810" t="inlineStr">
        <is>
          <t>08/05/2025</t>
        </is>
      </c>
      <c r="C1810" t="inlineStr">
        <is>
          <t>Expense</t>
        </is>
      </c>
      <c r="D1810" t="inlineStr"/>
      <c r="E1810" t="inlineStr">
        <is>
          <t>Northwind Supply</t>
        </is>
      </c>
      <c r="F1810" t="inlineStr">
        <is>
          <t>Northwind Supply invoice 72369</t>
        </is>
      </c>
      <c r="G1810" t="inlineStr">
        <is>
          <t>1010</t>
        </is>
      </c>
      <c r="H1810" t="inlineStr">
        <is>
          <t>Northgate Checking 7742</t>
        </is>
      </c>
      <c r="I1810" t="inlineStr">
        <is>
          <t>Product</t>
        </is>
      </c>
      <c r="K1810">
        <f>284.19</f>
        <v/>
      </c>
    </row>
    <row r="1811">
      <c r="A1811" t="inlineStr">
        <is>
          <t>Total for T-00373</t>
        </is>
      </c>
      <c r="J1811">
        <f>J1809</f>
        <v/>
      </c>
      <c r="K1811">
        <f>K1810</f>
        <v/>
      </c>
    </row>
    <row r="1812"/>
    <row r="1813">
      <c r="A1813" t="inlineStr">
        <is>
          <t>T-00380</t>
        </is>
      </c>
    </row>
    <row r="1814">
      <c r="B1814" t="inlineStr">
        <is>
          <t>08/05/2025</t>
        </is>
      </c>
      <c r="C1814" t="inlineStr">
        <is>
          <t>Expense</t>
        </is>
      </c>
      <c r="D1814" t="inlineStr"/>
      <c r="E1814" t="inlineStr">
        <is>
          <t>Fabrikam Freight</t>
        </is>
      </c>
      <c r="F1814" t="inlineStr">
        <is>
          <t>Fabrikam Freight invoice 86089</t>
        </is>
      </c>
      <c r="G1814" t="inlineStr">
        <is>
          <t>5100</t>
        </is>
      </c>
      <c r="H1814" t="inlineStr">
        <is>
          <t>Shipping and Freight</t>
        </is>
      </c>
      <c r="I1814" t="inlineStr">
        <is>
          <t>Product</t>
        </is>
      </c>
      <c r="J1814">
        <f>409.62</f>
        <v/>
      </c>
    </row>
    <row r="1815">
      <c r="B1815" t="inlineStr">
        <is>
          <t>08/05/2025</t>
        </is>
      </c>
      <c r="C1815" t="inlineStr">
        <is>
          <t>Expense</t>
        </is>
      </c>
      <c r="D1815" t="inlineStr"/>
      <c r="E1815" t="inlineStr">
        <is>
          <t>Fabrikam Freight</t>
        </is>
      </c>
      <c r="F1815" t="inlineStr">
        <is>
          <t>Fabrikam Freight invoice 86089</t>
        </is>
      </c>
      <c r="G1815" t="inlineStr">
        <is>
          <t>1010</t>
        </is>
      </c>
      <c r="H1815" t="inlineStr">
        <is>
          <t>Northgate Checking 7742</t>
        </is>
      </c>
      <c r="I1815" t="inlineStr">
        <is>
          <t>Product</t>
        </is>
      </c>
      <c r="K1815">
        <f>409.62</f>
        <v/>
      </c>
    </row>
    <row r="1816">
      <c r="A1816" t="inlineStr">
        <is>
          <t>Total for T-00380</t>
        </is>
      </c>
      <c r="J1816">
        <f>J1814</f>
        <v/>
      </c>
      <c r="K1816">
        <f>K1815</f>
        <v/>
      </c>
    </row>
    <row r="1817"/>
    <row r="1818">
      <c r="A1818" t="inlineStr">
        <is>
          <t>T-00387</t>
        </is>
      </c>
    </row>
    <row r="1819">
      <c r="B1819" t="inlineStr">
        <is>
          <t>08/05/2025</t>
        </is>
      </c>
      <c r="C1819" t="inlineStr">
        <is>
          <t>Expense</t>
        </is>
      </c>
      <c r="D1819" t="inlineStr"/>
      <c r="E1819" t="inlineStr">
        <is>
          <t>Northwind Supply</t>
        </is>
      </c>
      <c r="F1819" t="inlineStr">
        <is>
          <t>Northwind Supply invoice 43210</t>
        </is>
      </c>
      <c r="G1819" t="inlineStr">
        <is>
          <t>5000</t>
        </is>
      </c>
      <c r="H1819" t="inlineStr">
        <is>
          <t>Cost of Goods Sold - Components</t>
        </is>
      </c>
      <c r="I1819" t="inlineStr">
        <is>
          <t>Product</t>
        </is>
      </c>
      <c r="J1819">
        <f>943.58</f>
        <v/>
      </c>
    </row>
    <row r="1820">
      <c r="B1820" t="inlineStr">
        <is>
          <t>08/05/2025</t>
        </is>
      </c>
      <c r="C1820" t="inlineStr">
        <is>
          <t>Expense</t>
        </is>
      </c>
      <c r="D1820" t="inlineStr"/>
      <c r="E1820" t="inlineStr">
        <is>
          <t>Northwind Supply</t>
        </is>
      </c>
      <c r="F1820" t="inlineStr">
        <is>
          <t>Northwind Supply invoice 43210</t>
        </is>
      </c>
      <c r="G1820" t="inlineStr">
        <is>
          <t>1010</t>
        </is>
      </c>
      <c r="H1820" t="inlineStr">
        <is>
          <t>Northgate Checking 7742</t>
        </is>
      </c>
      <c r="I1820" t="inlineStr">
        <is>
          <t>Product</t>
        </is>
      </c>
      <c r="K1820">
        <f>943.58</f>
        <v/>
      </c>
    </row>
    <row r="1821">
      <c r="A1821" t="inlineStr">
        <is>
          <t>Total for T-00387</t>
        </is>
      </c>
      <c r="J1821">
        <f>J1819</f>
        <v/>
      </c>
      <c r="K1821">
        <f>K1820</f>
        <v/>
      </c>
    </row>
    <row r="1822"/>
    <row r="1823">
      <c r="A1823" t="inlineStr">
        <is>
          <t>T-00395</t>
        </is>
      </c>
    </row>
    <row r="1824">
      <c r="B1824" t="inlineStr">
        <is>
          <t>08/05/2025</t>
        </is>
      </c>
      <c r="C1824" t="inlineStr">
        <is>
          <t>Expense</t>
        </is>
      </c>
      <c r="D1824" t="inlineStr"/>
      <c r="E1824" t="inlineStr">
        <is>
          <t>Fabrikam Freight</t>
        </is>
      </c>
      <c r="F1824" t="inlineStr">
        <is>
          <t>Fabrikam Freight invoice 61775</t>
        </is>
      </c>
      <c r="G1824" t="inlineStr">
        <is>
          <t>5100</t>
        </is>
      </c>
      <c r="H1824" t="inlineStr">
        <is>
          <t>Shipping and Freight</t>
        </is>
      </c>
      <c r="I1824" t="inlineStr">
        <is>
          <t>Product</t>
        </is>
      </c>
      <c r="J1824">
        <f>530.91</f>
        <v/>
      </c>
    </row>
    <row r="1825">
      <c r="B1825" t="inlineStr">
        <is>
          <t>08/05/2025</t>
        </is>
      </c>
      <c r="C1825" t="inlineStr">
        <is>
          <t>Expense</t>
        </is>
      </c>
      <c r="D1825" t="inlineStr"/>
      <c r="E1825" t="inlineStr">
        <is>
          <t>Fabrikam Freight</t>
        </is>
      </c>
      <c r="F1825" t="inlineStr">
        <is>
          <t>Fabrikam Freight invoice 61775</t>
        </is>
      </c>
      <c r="G1825" t="inlineStr">
        <is>
          <t>1010</t>
        </is>
      </c>
      <c r="H1825" t="inlineStr">
        <is>
          <t>Northgate Checking 7742</t>
        </is>
      </c>
      <c r="I1825" t="inlineStr">
        <is>
          <t>Product</t>
        </is>
      </c>
      <c r="K1825">
        <f>530.91</f>
        <v/>
      </c>
    </row>
    <row r="1826">
      <c r="A1826" t="inlineStr">
        <is>
          <t>Total for T-00395</t>
        </is>
      </c>
      <c r="J1826">
        <f>J1824</f>
        <v/>
      </c>
      <c r="K1826">
        <f>K1825</f>
        <v/>
      </c>
    </row>
    <row r="1827"/>
    <row r="1828">
      <c r="A1828" t="inlineStr">
        <is>
          <t>T-00376</t>
        </is>
      </c>
    </row>
    <row r="1829">
      <c r="B1829" t="inlineStr">
        <is>
          <t>08/06/2025</t>
        </is>
      </c>
      <c r="C1829" t="inlineStr">
        <is>
          <t>Expense</t>
        </is>
      </c>
      <c r="D1829" t="inlineStr"/>
      <c r="E1829" t="inlineStr">
        <is>
          <t>Litware Legal</t>
        </is>
      </c>
      <c r="F1829" t="inlineStr">
        <is>
          <t>Litware Legal invoice 88620</t>
        </is>
      </c>
      <c r="G1829" t="inlineStr">
        <is>
          <t>6800</t>
        </is>
      </c>
      <c r="H1829" t="inlineStr">
        <is>
          <t>Professional Fees</t>
        </is>
      </c>
      <c r="I1829" t="inlineStr">
        <is>
          <t>Overhead</t>
        </is>
      </c>
      <c r="J1829">
        <f>379.68</f>
        <v/>
      </c>
    </row>
    <row r="1830">
      <c r="B1830" t="inlineStr">
        <is>
          <t>08/06/2025</t>
        </is>
      </c>
      <c r="C1830" t="inlineStr">
        <is>
          <t>Expense</t>
        </is>
      </c>
      <c r="D1830" t="inlineStr"/>
      <c r="E1830" t="inlineStr">
        <is>
          <t>Litware Legal</t>
        </is>
      </c>
      <c r="F1830" t="inlineStr">
        <is>
          <t>Litware Legal invoice 88620</t>
        </is>
      </c>
      <c r="G1830" t="inlineStr">
        <is>
          <t>1010</t>
        </is>
      </c>
      <c r="H1830" t="inlineStr">
        <is>
          <t>Northgate Checking 7742</t>
        </is>
      </c>
      <c r="I1830" t="inlineStr">
        <is>
          <t>Overhead</t>
        </is>
      </c>
      <c r="K1830">
        <f>379.68</f>
        <v/>
      </c>
    </row>
    <row r="1831">
      <c r="A1831" t="inlineStr">
        <is>
          <t>Total for T-00376</t>
        </is>
      </c>
      <c r="J1831">
        <f>J1829</f>
        <v/>
      </c>
      <c r="K1831">
        <f>K1830</f>
        <v/>
      </c>
    </row>
    <row r="1832"/>
    <row r="1833">
      <c r="A1833" t="inlineStr">
        <is>
          <t>T-00371</t>
        </is>
      </c>
    </row>
    <row r="1834">
      <c r="B1834" t="inlineStr">
        <is>
          <t>08/09/2025</t>
        </is>
      </c>
      <c r="C1834" t="inlineStr">
        <is>
          <t>Expense</t>
        </is>
      </c>
      <c r="D1834" t="inlineStr"/>
      <c r="E1834" t="inlineStr">
        <is>
          <t>Fabrikam Freight</t>
        </is>
      </c>
      <c r="F1834" t="inlineStr">
        <is>
          <t>Fabrikam Freight invoice 16404</t>
        </is>
      </c>
      <c r="G1834" t="inlineStr">
        <is>
          <t>5100</t>
        </is>
      </c>
      <c r="H1834" t="inlineStr">
        <is>
          <t>Shipping and Freight</t>
        </is>
      </c>
      <c r="I1834" t="inlineStr">
        <is>
          <t>Product</t>
        </is>
      </c>
      <c r="J1834">
        <f>586.56</f>
        <v/>
      </c>
    </row>
    <row r="1835">
      <c r="B1835" t="inlineStr">
        <is>
          <t>08/09/2025</t>
        </is>
      </c>
      <c r="C1835" t="inlineStr">
        <is>
          <t>Expense</t>
        </is>
      </c>
      <c r="D1835" t="inlineStr"/>
      <c r="E1835" t="inlineStr">
        <is>
          <t>Fabrikam Freight</t>
        </is>
      </c>
      <c r="F1835" t="inlineStr">
        <is>
          <t>Fabrikam Freight invoice 16404</t>
        </is>
      </c>
      <c r="G1835" t="inlineStr">
        <is>
          <t>1010</t>
        </is>
      </c>
      <c r="H1835" t="inlineStr">
        <is>
          <t>Northgate Checking 7742</t>
        </is>
      </c>
      <c r="I1835" t="inlineStr">
        <is>
          <t>Product</t>
        </is>
      </c>
      <c r="K1835">
        <f>586.56</f>
        <v/>
      </c>
    </row>
    <row r="1836">
      <c r="A1836" t="inlineStr">
        <is>
          <t>Total for T-00371</t>
        </is>
      </c>
      <c r="J1836">
        <f>J1834</f>
        <v/>
      </c>
      <c r="K1836">
        <f>K1835</f>
        <v/>
      </c>
    </row>
    <row r="1837"/>
    <row r="1838">
      <c r="A1838" t="inlineStr">
        <is>
          <t>T-00350</t>
        </is>
      </c>
    </row>
    <row r="1839">
      <c r="B1839" t="inlineStr">
        <is>
          <t>08/10/2025</t>
        </is>
      </c>
      <c r="C1839" t="inlineStr">
        <is>
          <t>Invoice</t>
        </is>
      </c>
      <c r="D1839" t="inlineStr">
        <is>
          <t>INV-1014</t>
        </is>
      </c>
      <c r="E1839" t="inlineStr">
        <is>
          <t>Corvus Labs Inc</t>
        </is>
      </c>
      <c r="F1839" t="inlineStr">
        <is>
          <t>INV-1014 robot cell</t>
        </is>
      </c>
      <c r="G1839" t="inlineStr">
        <is>
          <t>1100</t>
        </is>
      </c>
      <c r="H1839" t="inlineStr">
        <is>
          <t>Accounts Receivable</t>
        </is>
      </c>
      <c r="I1839" t="inlineStr">
        <is>
          <t>Product</t>
        </is>
      </c>
      <c r="J1839">
        <f>43747.27</f>
        <v/>
      </c>
    </row>
    <row r="1840">
      <c r="B1840" t="inlineStr">
        <is>
          <t>08/10/2025</t>
        </is>
      </c>
      <c r="C1840" t="inlineStr">
        <is>
          <t>Invoice</t>
        </is>
      </c>
      <c r="D1840" t="inlineStr">
        <is>
          <t>INV-1014</t>
        </is>
      </c>
      <c r="E1840" t="inlineStr">
        <is>
          <t>Corvus Labs Inc</t>
        </is>
      </c>
      <c r="F1840" t="inlineStr">
        <is>
          <t>INV-1014 robot cell</t>
        </is>
      </c>
      <c r="G1840" t="inlineStr">
        <is>
          <t>4000</t>
        </is>
      </c>
      <c r="H1840" t="inlineStr">
        <is>
          <t>Product Revenue</t>
        </is>
      </c>
      <c r="I1840" t="inlineStr">
        <is>
          <t>Product</t>
        </is>
      </c>
      <c r="K1840">
        <f>43747.27</f>
        <v/>
      </c>
    </row>
    <row r="1841">
      <c r="A1841" t="inlineStr">
        <is>
          <t>Total for T-00350</t>
        </is>
      </c>
      <c r="J1841">
        <f>J1839</f>
        <v/>
      </c>
      <c r="K1841">
        <f>K1840</f>
        <v/>
      </c>
    </row>
    <row r="1842"/>
    <row r="1843">
      <c r="A1843" t="inlineStr">
        <is>
          <t>T-00351</t>
        </is>
      </c>
    </row>
    <row r="1844">
      <c r="B1844" t="inlineStr">
        <is>
          <t>08/10/2025</t>
        </is>
      </c>
      <c r="C1844" t="inlineStr">
        <is>
          <t>Invoice</t>
        </is>
      </c>
      <c r="D1844" t="inlineStr">
        <is>
          <t>INV-1015</t>
        </is>
      </c>
      <c r="E1844" t="inlineStr">
        <is>
          <t>Corvus Labs Inc</t>
        </is>
      </c>
      <c r="F1844" t="inlineStr">
        <is>
          <t>INV-1015 support plan</t>
        </is>
      </c>
      <c r="G1844" t="inlineStr">
        <is>
          <t>1100</t>
        </is>
      </c>
      <c r="H1844" t="inlineStr">
        <is>
          <t>Accounts Receivable</t>
        </is>
      </c>
      <c r="I1844" t="inlineStr">
        <is>
          <t>Services</t>
        </is>
      </c>
      <c r="J1844">
        <f>8250.00</f>
        <v/>
      </c>
    </row>
    <row r="1845">
      <c r="B1845" t="inlineStr">
        <is>
          <t>08/10/2025</t>
        </is>
      </c>
      <c r="C1845" t="inlineStr">
        <is>
          <t>Invoice</t>
        </is>
      </c>
      <c r="D1845" t="inlineStr">
        <is>
          <t>INV-1015</t>
        </is>
      </c>
      <c r="E1845" t="inlineStr">
        <is>
          <t>Corvus Labs Inc</t>
        </is>
      </c>
      <c r="F1845" t="inlineStr">
        <is>
          <t>INV-1015 support plan</t>
        </is>
      </c>
      <c r="G1845" t="inlineStr">
        <is>
          <t>4100</t>
        </is>
      </c>
      <c r="H1845" t="inlineStr">
        <is>
          <t>Service Revenue</t>
        </is>
      </c>
      <c r="I1845" t="inlineStr">
        <is>
          <t>Services</t>
        </is>
      </c>
      <c r="K1845">
        <f>8250.00</f>
        <v/>
      </c>
    </row>
    <row r="1846">
      <c r="A1846" t="inlineStr">
        <is>
          <t>Total for T-00351</t>
        </is>
      </c>
      <c r="J1846">
        <f>J1844</f>
        <v/>
      </c>
      <c r="K1846">
        <f>K1845</f>
        <v/>
      </c>
    </row>
    <row r="1847"/>
    <row r="1848">
      <c r="A1848" t="inlineStr">
        <is>
          <t>T-00352</t>
        </is>
      </c>
    </row>
    <row r="1849">
      <c r="B1849" t="inlineStr">
        <is>
          <t>08/10/2025</t>
        </is>
      </c>
      <c r="C1849" t="inlineStr">
        <is>
          <t>Payment</t>
        </is>
      </c>
      <c r="D1849" t="inlineStr"/>
      <c r="E1849" t="inlineStr">
        <is>
          <t>Meridian Automation Co</t>
        </is>
      </c>
      <c r="F1849" t="inlineStr">
        <is>
          <t>Payment on INV-1012</t>
        </is>
      </c>
      <c r="G1849" t="inlineStr">
        <is>
          <t>1010</t>
        </is>
      </c>
      <c r="H1849" t="inlineStr">
        <is>
          <t>Northgate Checking 7742</t>
        </is>
      </c>
      <c r="I1849" t="inlineStr">
        <is>
          <t>Overhead</t>
        </is>
      </c>
      <c r="J1849">
        <f>41415.68</f>
        <v/>
      </c>
    </row>
    <row r="1850">
      <c r="B1850" t="inlineStr">
        <is>
          <t>08/10/2025</t>
        </is>
      </c>
      <c r="C1850" t="inlineStr">
        <is>
          <t>Payment</t>
        </is>
      </c>
      <c r="D1850" t="inlineStr"/>
      <c r="E1850" t="inlineStr">
        <is>
          <t>Meridian Automation Co</t>
        </is>
      </c>
      <c r="F1850" t="inlineStr">
        <is>
          <t>Payment on INV-1012</t>
        </is>
      </c>
      <c r="G1850" t="inlineStr">
        <is>
          <t>1100</t>
        </is>
      </c>
      <c r="H1850" t="inlineStr">
        <is>
          <t>Accounts Receivable</t>
        </is>
      </c>
      <c r="I1850" t="inlineStr">
        <is>
          <t>Overhead</t>
        </is>
      </c>
      <c r="K1850">
        <f>41415.68</f>
        <v/>
      </c>
    </row>
    <row r="1851">
      <c r="A1851" t="inlineStr">
        <is>
          <t>Total for T-00352</t>
        </is>
      </c>
      <c r="J1851">
        <f>J1849</f>
        <v/>
      </c>
      <c r="K1851">
        <f>K1850</f>
        <v/>
      </c>
    </row>
    <row r="1852"/>
    <row r="1853">
      <c r="A1853" t="inlineStr">
        <is>
          <t>T-00353</t>
        </is>
      </c>
    </row>
    <row r="1854">
      <c r="B1854" t="inlineStr">
        <is>
          <t>08/10/2025</t>
        </is>
      </c>
      <c r="C1854" t="inlineStr">
        <is>
          <t>Payment</t>
        </is>
      </c>
      <c r="D1854" t="inlineStr"/>
      <c r="E1854" t="inlineStr">
        <is>
          <t>Meridian Automation Co</t>
        </is>
      </c>
      <c r="F1854" t="inlineStr">
        <is>
          <t>Payment on INV-1013</t>
        </is>
      </c>
      <c r="G1854" t="inlineStr">
        <is>
          <t>1010</t>
        </is>
      </c>
      <c r="H1854" t="inlineStr">
        <is>
          <t>Northgate Checking 7742</t>
        </is>
      </c>
      <c r="I1854" t="inlineStr">
        <is>
          <t>Overhead</t>
        </is>
      </c>
      <c r="J1854">
        <f>8000.00</f>
        <v/>
      </c>
    </row>
    <row r="1855">
      <c r="B1855" t="inlineStr">
        <is>
          <t>08/10/2025</t>
        </is>
      </c>
      <c r="C1855" t="inlineStr">
        <is>
          <t>Payment</t>
        </is>
      </c>
      <c r="D1855" t="inlineStr"/>
      <c r="E1855" t="inlineStr">
        <is>
          <t>Meridian Automation Co</t>
        </is>
      </c>
      <c r="F1855" t="inlineStr">
        <is>
          <t>Payment on INV-1013</t>
        </is>
      </c>
      <c r="G1855" t="inlineStr">
        <is>
          <t>1100</t>
        </is>
      </c>
      <c r="H1855" t="inlineStr">
        <is>
          <t>Accounts Receivable</t>
        </is>
      </c>
      <c r="I1855" t="inlineStr">
        <is>
          <t>Overhead</t>
        </is>
      </c>
      <c r="K1855">
        <f>8000.00</f>
        <v/>
      </c>
    </row>
    <row r="1856">
      <c r="A1856" t="inlineStr">
        <is>
          <t>Total for T-00353</t>
        </is>
      </c>
      <c r="J1856">
        <f>J1854</f>
        <v/>
      </c>
      <c r="K1856">
        <f>K1855</f>
        <v/>
      </c>
    </row>
    <row r="1857"/>
    <row r="1858">
      <c r="A1858" t="inlineStr">
        <is>
          <t>T-00375</t>
        </is>
      </c>
    </row>
    <row r="1859">
      <c r="B1859" t="inlineStr">
        <is>
          <t>08/10/2025</t>
        </is>
      </c>
      <c r="C1859" t="inlineStr">
        <is>
          <t>Expense</t>
        </is>
      </c>
      <c r="D1859" t="inlineStr"/>
      <c r="E1859" t="inlineStr">
        <is>
          <t>Northwind Supply</t>
        </is>
      </c>
      <c r="F1859" t="inlineStr">
        <is>
          <t>Northwind Supply invoice 97003</t>
        </is>
      </c>
      <c r="G1859" t="inlineStr">
        <is>
          <t>5000</t>
        </is>
      </c>
      <c r="H1859" t="inlineStr">
        <is>
          <t>Cost of Goods Sold - Components</t>
        </is>
      </c>
      <c r="I1859" t="inlineStr">
        <is>
          <t>Product</t>
        </is>
      </c>
      <c r="J1859">
        <f>274.18</f>
        <v/>
      </c>
    </row>
    <row r="1860">
      <c r="B1860" t="inlineStr">
        <is>
          <t>08/10/2025</t>
        </is>
      </c>
      <c r="C1860" t="inlineStr">
        <is>
          <t>Expense</t>
        </is>
      </c>
      <c r="D1860" t="inlineStr"/>
      <c r="E1860" t="inlineStr">
        <is>
          <t>Northwind Supply</t>
        </is>
      </c>
      <c r="F1860" t="inlineStr">
        <is>
          <t>Northwind Supply invoice 97003</t>
        </is>
      </c>
      <c r="G1860" t="inlineStr">
        <is>
          <t>1010</t>
        </is>
      </c>
      <c r="H1860" t="inlineStr">
        <is>
          <t>Northgate Checking 7742</t>
        </is>
      </c>
      <c r="I1860" t="inlineStr">
        <is>
          <t>Product</t>
        </is>
      </c>
      <c r="K1860">
        <f>274.18</f>
        <v/>
      </c>
    </row>
    <row r="1861">
      <c r="A1861" t="inlineStr">
        <is>
          <t>Total for T-00375</t>
        </is>
      </c>
      <c r="J1861">
        <f>J1859</f>
        <v/>
      </c>
      <c r="K1861">
        <f>K1860</f>
        <v/>
      </c>
    </row>
    <row r="1862"/>
    <row r="1863">
      <c r="A1863" t="inlineStr">
        <is>
          <t>T-00379</t>
        </is>
      </c>
    </row>
    <row r="1864">
      <c r="B1864" t="inlineStr">
        <is>
          <t>08/10/2025</t>
        </is>
      </c>
      <c r="C1864" t="inlineStr">
        <is>
          <t>Expense</t>
        </is>
      </c>
      <c r="D1864" t="inlineStr"/>
      <c r="E1864" t="inlineStr">
        <is>
          <t>Redwood Prototyping</t>
        </is>
      </c>
      <c r="F1864" t="inlineStr">
        <is>
          <t>Redwood Prototyping invoice 30138</t>
        </is>
      </c>
      <c r="G1864" t="inlineStr">
        <is>
          <t>6100</t>
        </is>
      </c>
      <c r="H1864" t="inlineStr">
        <is>
          <t>Contract Engineering</t>
        </is>
      </c>
      <c r="I1864" t="inlineStr">
        <is>
          <t>Product</t>
        </is>
      </c>
      <c r="J1864">
        <f>1301.68</f>
        <v/>
      </c>
    </row>
    <row r="1865">
      <c r="B1865" t="inlineStr">
        <is>
          <t>08/10/2025</t>
        </is>
      </c>
      <c r="C1865" t="inlineStr">
        <is>
          <t>Expense</t>
        </is>
      </c>
      <c r="D1865" t="inlineStr"/>
      <c r="E1865" t="inlineStr">
        <is>
          <t>Redwood Prototyping</t>
        </is>
      </c>
      <c r="F1865" t="inlineStr">
        <is>
          <t>Redwood Prototyping invoice 30138</t>
        </is>
      </c>
      <c r="G1865" t="inlineStr">
        <is>
          <t>1010</t>
        </is>
      </c>
      <c r="H1865" t="inlineStr">
        <is>
          <t>Northgate Checking 7742</t>
        </is>
      </c>
      <c r="I1865" t="inlineStr">
        <is>
          <t>Product</t>
        </is>
      </c>
      <c r="K1865">
        <f>1301.68</f>
        <v/>
      </c>
    </row>
    <row r="1866">
      <c r="A1866" t="inlineStr">
        <is>
          <t>Total for T-00379</t>
        </is>
      </c>
      <c r="J1866">
        <f>J1864</f>
        <v/>
      </c>
      <c r="K1866">
        <f>K1865</f>
        <v/>
      </c>
    </row>
    <row r="1867"/>
    <row r="1868">
      <c r="A1868" t="inlineStr">
        <is>
          <t>T-00390</t>
        </is>
      </c>
    </row>
    <row r="1869">
      <c r="B1869" t="inlineStr">
        <is>
          <t>08/10/2025</t>
        </is>
      </c>
      <c r="C1869" t="inlineStr">
        <is>
          <t>Expense</t>
        </is>
      </c>
      <c r="D1869" t="inlineStr"/>
      <c r="E1869" t="inlineStr">
        <is>
          <t>Bluepeak Engineering</t>
        </is>
      </c>
      <c r="F1869" t="inlineStr">
        <is>
          <t>Bluepeak Engineering invoice 66301</t>
        </is>
      </c>
      <c r="G1869" t="inlineStr">
        <is>
          <t>6100</t>
        </is>
      </c>
      <c r="H1869" t="inlineStr">
        <is>
          <t>Contract Engineering</t>
        </is>
      </c>
      <c r="I1869" t="inlineStr">
        <is>
          <t>Product</t>
        </is>
      </c>
      <c r="J1869">
        <f>1455.87</f>
        <v/>
      </c>
    </row>
    <row r="1870">
      <c r="B1870" t="inlineStr">
        <is>
          <t>08/10/2025</t>
        </is>
      </c>
      <c r="C1870" t="inlineStr">
        <is>
          <t>Expense</t>
        </is>
      </c>
      <c r="D1870" t="inlineStr"/>
      <c r="E1870" t="inlineStr">
        <is>
          <t>Bluepeak Engineering</t>
        </is>
      </c>
      <c r="F1870" t="inlineStr">
        <is>
          <t>Bluepeak Engineering invoice 66301</t>
        </is>
      </c>
      <c r="G1870" t="inlineStr">
        <is>
          <t>1010</t>
        </is>
      </c>
      <c r="H1870" t="inlineStr">
        <is>
          <t>Northgate Checking 7742</t>
        </is>
      </c>
      <c r="I1870" t="inlineStr">
        <is>
          <t>Product</t>
        </is>
      </c>
      <c r="K1870">
        <f>1455.87</f>
        <v/>
      </c>
    </row>
    <row r="1871">
      <c r="A1871" t="inlineStr">
        <is>
          <t>Total for T-00390</t>
        </is>
      </c>
      <c r="J1871">
        <f>J1869</f>
        <v/>
      </c>
      <c r="K1871">
        <f>K1870</f>
        <v/>
      </c>
    </row>
    <row r="1872"/>
    <row r="1873">
      <c r="A1873" t="inlineStr">
        <is>
          <t>T-00384</t>
        </is>
      </c>
    </row>
    <row r="1874">
      <c r="B1874" t="inlineStr">
        <is>
          <t>08/11/2025</t>
        </is>
      </c>
      <c r="C1874" t="inlineStr">
        <is>
          <t>Expense</t>
        </is>
      </c>
      <c r="D1874" t="inlineStr"/>
      <c r="E1874" t="inlineStr">
        <is>
          <t>Bluepeak Engineering</t>
        </is>
      </c>
      <c r="F1874" t="inlineStr">
        <is>
          <t>Bluepeak Engineering invoice 23787</t>
        </is>
      </c>
      <c r="G1874" t="inlineStr">
        <is>
          <t>6100</t>
        </is>
      </c>
      <c r="H1874" t="inlineStr">
        <is>
          <t>Contract Engineering</t>
        </is>
      </c>
      <c r="I1874" t="inlineStr">
        <is>
          <t>Product</t>
        </is>
      </c>
      <c r="J1874">
        <f>547.36</f>
        <v/>
      </c>
    </row>
    <row r="1875">
      <c r="B1875" t="inlineStr">
        <is>
          <t>08/11/2025</t>
        </is>
      </c>
      <c r="C1875" t="inlineStr">
        <is>
          <t>Expense</t>
        </is>
      </c>
      <c r="D1875" t="inlineStr"/>
      <c r="E1875" t="inlineStr">
        <is>
          <t>Bluepeak Engineering</t>
        </is>
      </c>
      <c r="F1875" t="inlineStr">
        <is>
          <t>Bluepeak Engineering invoice 23787</t>
        </is>
      </c>
      <c r="G1875" t="inlineStr">
        <is>
          <t>1010</t>
        </is>
      </c>
      <c r="H1875" t="inlineStr">
        <is>
          <t>Northgate Checking 7742</t>
        </is>
      </c>
      <c r="I1875" t="inlineStr">
        <is>
          <t>Product</t>
        </is>
      </c>
      <c r="K1875">
        <f>547.36</f>
        <v/>
      </c>
    </row>
    <row r="1876">
      <c r="A1876" t="inlineStr">
        <is>
          <t>Total for T-00384</t>
        </is>
      </c>
      <c r="J1876">
        <f>J1874</f>
        <v/>
      </c>
      <c r="K1876">
        <f>K1875</f>
        <v/>
      </c>
    </row>
    <row r="1877"/>
    <row r="1878">
      <c r="A1878" t="inlineStr">
        <is>
          <t>T-00393</t>
        </is>
      </c>
    </row>
    <row r="1879">
      <c r="B1879" t="inlineStr">
        <is>
          <t>08/11/2025</t>
        </is>
      </c>
      <c r="C1879" t="inlineStr">
        <is>
          <t>Expense</t>
        </is>
      </c>
      <c r="D1879" t="inlineStr"/>
      <c r="E1879" t="inlineStr">
        <is>
          <t>Northwind Supply</t>
        </is>
      </c>
      <c r="F1879" t="inlineStr">
        <is>
          <t>Northwind Supply invoice 44927</t>
        </is>
      </c>
      <c r="G1879" t="inlineStr">
        <is>
          <t>5000</t>
        </is>
      </c>
      <c r="H1879" t="inlineStr">
        <is>
          <t>Cost of Goods Sold - Components</t>
        </is>
      </c>
      <c r="I1879" t="inlineStr">
        <is>
          <t>Product</t>
        </is>
      </c>
      <c r="J1879">
        <f>1022.38</f>
        <v/>
      </c>
    </row>
    <row r="1880">
      <c r="B1880" t="inlineStr">
        <is>
          <t>08/11/2025</t>
        </is>
      </c>
      <c r="C1880" t="inlineStr">
        <is>
          <t>Expense</t>
        </is>
      </c>
      <c r="D1880" t="inlineStr"/>
      <c r="E1880" t="inlineStr">
        <is>
          <t>Northwind Supply</t>
        </is>
      </c>
      <c r="F1880" t="inlineStr">
        <is>
          <t>Northwind Supply invoice 44927</t>
        </is>
      </c>
      <c r="G1880" t="inlineStr">
        <is>
          <t>1010</t>
        </is>
      </c>
      <c r="H1880" t="inlineStr">
        <is>
          <t>Northgate Checking 7742</t>
        </is>
      </c>
      <c r="I1880" t="inlineStr">
        <is>
          <t>Product</t>
        </is>
      </c>
      <c r="K1880">
        <f>1022.38</f>
        <v/>
      </c>
    </row>
    <row r="1881">
      <c r="A1881" t="inlineStr">
        <is>
          <t>Total for T-00393</t>
        </is>
      </c>
      <c r="J1881">
        <f>J1879</f>
        <v/>
      </c>
      <c r="K1881">
        <f>K1880</f>
        <v/>
      </c>
    </row>
    <row r="1882"/>
    <row r="1883">
      <c r="A1883" t="inlineStr">
        <is>
          <t>T-00354</t>
        </is>
      </c>
    </row>
    <row r="1884">
      <c r="B1884" t="inlineStr">
        <is>
          <t>08/12/2025</t>
        </is>
      </c>
      <c r="C1884" t="inlineStr">
        <is>
          <t>Bill Payment</t>
        </is>
      </c>
      <c r="D1884" t="inlineStr"/>
      <c r="E1884" t="inlineStr">
        <is>
          <t>Northwind Supply</t>
        </is>
      </c>
      <c r="F1884" t="inlineStr">
        <is>
          <t>Payment on NWS-4406</t>
        </is>
      </c>
      <c r="G1884" t="inlineStr">
        <is>
          <t>2010</t>
        </is>
      </c>
      <c r="H1884" t="inlineStr">
        <is>
          <t>Accounts Payable</t>
        </is>
      </c>
      <c r="I1884" t="inlineStr">
        <is>
          <t>Product</t>
        </is>
      </c>
      <c r="J1884">
        <f>12857.68</f>
        <v/>
      </c>
    </row>
    <row r="1885">
      <c r="B1885" t="inlineStr">
        <is>
          <t>08/12/2025</t>
        </is>
      </c>
      <c r="C1885" t="inlineStr">
        <is>
          <t>Bill Payment</t>
        </is>
      </c>
      <c r="D1885" t="inlineStr"/>
      <c r="E1885" t="inlineStr">
        <is>
          <t>Northwind Supply</t>
        </is>
      </c>
      <c r="F1885" t="inlineStr">
        <is>
          <t>Payment on NWS-4406</t>
        </is>
      </c>
      <c r="G1885" t="inlineStr">
        <is>
          <t>1010</t>
        </is>
      </c>
      <c r="H1885" t="inlineStr">
        <is>
          <t>Northgate Checking 7742</t>
        </is>
      </c>
      <c r="I1885" t="inlineStr">
        <is>
          <t>Product</t>
        </is>
      </c>
      <c r="K1885">
        <f>12857.68</f>
        <v/>
      </c>
    </row>
    <row r="1886">
      <c r="A1886" t="inlineStr">
        <is>
          <t>Total for T-00354</t>
        </is>
      </c>
      <c r="J1886">
        <f>J1884</f>
        <v/>
      </c>
      <c r="K1886">
        <f>K1885</f>
        <v/>
      </c>
    </row>
    <row r="1887"/>
    <row r="1888">
      <c r="A1888" t="inlineStr">
        <is>
          <t>T-00365</t>
        </is>
      </c>
    </row>
    <row r="1889">
      <c r="B1889" t="inlineStr">
        <is>
          <t>08/12/2025</t>
        </is>
      </c>
      <c r="C1889" t="inlineStr">
        <is>
          <t>Expense</t>
        </is>
      </c>
      <c r="D1889" t="inlineStr"/>
      <c r="E1889" t="inlineStr">
        <is>
          <t>Redwood Prototyping</t>
        </is>
      </c>
      <c r="F1889" t="inlineStr">
        <is>
          <t>Redwood Prototyping invoice 51443</t>
        </is>
      </c>
      <c r="G1889" t="inlineStr">
        <is>
          <t>6100</t>
        </is>
      </c>
      <c r="H1889" t="inlineStr">
        <is>
          <t>Contract Engineering</t>
        </is>
      </c>
      <c r="I1889" t="inlineStr">
        <is>
          <t>Product</t>
        </is>
      </c>
      <c r="J1889">
        <f>1078.79</f>
        <v/>
      </c>
    </row>
    <row r="1890">
      <c r="B1890" t="inlineStr">
        <is>
          <t>08/12/2025</t>
        </is>
      </c>
      <c r="C1890" t="inlineStr">
        <is>
          <t>Expense</t>
        </is>
      </c>
      <c r="D1890" t="inlineStr"/>
      <c r="E1890" t="inlineStr">
        <is>
          <t>Redwood Prototyping</t>
        </is>
      </c>
      <c r="F1890" t="inlineStr">
        <is>
          <t>Redwood Prototyping invoice 51443</t>
        </is>
      </c>
      <c r="G1890" t="inlineStr">
        <is>
          <t>1010</t>
        </is>
      </c>
      <c r="H1890" t="inlineStr">
        <is>
          <t>Northgate Checking 7742</t>
        </is>
      </c>
      <c r="I1890" t="inlineStr">
        <is>
          <t>Product</t>
        </is>
      </c>
      <c r="K1890">
        <f>1078.79</f>
        <v/>
      </c>
    </row>
    <row r="1891">
      <c r="A1891" t="inlineStr">
        <is>
          <t>Total for T-00365</t>
        </is>
      </c>
      <c r="J1891">
        <f>J1889</f>
        <v/>
      </c>
      <c r="K1891">
        <f>K1890</f>
        <v/>
      </c>
    </row>
    <row r="1892"/>
    <row r="1893">
      <c r="A1893" t="inlineStr">
        <is>
          <t>T-00392</t>
        </is>
      </c>
    </row>
    <row r="1894">
      <c r="B1894" t="inlineStr">
        <is>
          <t>08/13/2025</t>
        </is>
      </c>
      <c r="C1894" t="inlineStr">
        <is>
          <t>Expense</t>
        </is>
      </c>
      <c r="D1894" t="inlineStr"/>
      <c r="E1894" t="inlineStr">
        <is>
          <t>Litware Legal</t>
        </is>
      </c>
      <c r="F1894" t="inlineStr">
        <is>
          <t>Litware Legal invoice 52958</t>
        </is>
      </c>
      <c r="G1894" t="inlineStr">
        <is>
          <t>6800</t>
        </is>
      </c>
      <c r="H1894" t="inlineStr">
        <is>
          <t>Professional Fees</t>
        </is>
      </c>
      <c r="I1894" t="inlineStr">
        <is>
          <t>Overhead</t>
        </is>
      </c>
      <c r="J1894">
        <f>454.86</f>
        <v/>
      </c>
    </row>
    <row r="1895">
      <c r="B1895" t="inlineStr">
        <is>
          <t>08/13/2025</t>
        </is>
      </c>
      <c r="C1895" t="inlineStr">
        <is>
          <t>Expense</t>
        </is>
      </c>
      <c r="D1895" t="inlineStr"/>
      <c r="E1895" t="inlineStr">
        <is>
          <t>Litware Legal</t>
        </is>
      </c>
      <c r="F1895" t="inlineStr">
        <is>
          <t>Litware Legal invoice 52958</t>
        </is>
      </c>
      <c r="G1895" t="inlineStr">
        <is>
          <t>1010</t>
        </is>
      </c>
      <c r="H1895" t="inlineStr">
        <is>
          <t>Northgate Checking 7742</t>
        </is>
      </c>
      <c r="I1895" t="inlineStr">
        <is>
          <t>Overhead</t>
        </is>
      </c>
      <c r="K1895">
        <f>454.86</f>
        <v/>
      </c>
    </row>
    <row r="1896">
      <c r="A1896" t="inlineStr">
        <is>
          <t>Total for T-00392</t>
        </is>
      </c>
      <c r="J1896">
        <f>J1894</f>
        <v/>
      </c>
      <c r="K1896">
        <f>K1895</f>
        <v/>
      </c>
    </row>
    <row r="1897"/>
    <row r="1898">
      <c r="A1898" t="inlineStr">
        <is>
          <t>T-00378</t>
        </is>
      </c>
    </row>
    <row r="1899">
      <c r="B1899" t="inlineStr">
        <is>
          <t>08/14/2025</t>
        </is>
      </c>
      <c r="C1899" t="inlineStr">
        <is>
          <t>Expense</t>
        </is>
      </c>
      <c r="D1899" t="inlineStr"/>
      <c r="E1899" t="inlineStr">
        <is>
          <t>Redwood Prototyping</t>
        </is>
      </c>
      <c r="F1899" t="inlineStr">
        <is>
          <t>Redwood Prototyping invoice 47461</t>
        </is>
      </c>
      <c r="G1899" t="inlineStr">
        <is>
          <t>6100</t>
        </is>
      </c>
      <c r="H1899" t="inlineStr">
        <is>
          <t>Contract Engineering</t>
        </is>
      </c>
      <c r="I1899" t="inlineStr">
        <is>
          <t>Product</t>
        </is>
      </c>
      <c r="J1899">
        <f>876.74</f>
        <v/>
      </c>
    </row>
    <row r="1900">
      <c r="B1900" t="inlineStr">
        <is>
          <t>08/14/2025</t>
        </is>
      </c>
      <c r="C1900" t="inlineStr">
        <is>
          <t>Expense</t>
        </is>
      </c>
      <c r="D1900" t="inlineStr"/>
      <c r="E1900" t="inlineStr">
        <is>
          <t>Redwood Prototyping</t>
        </is>
      </c>
      <c r="F1900" t="inlineStr">
        <is>
          <t>Redwood Prototyping invoice 47461</t>
        </is>
      </c>
      <c r="G1900" t="inlineStr">
        <is>
          <t>1010</t>
        </is>
      </c>
      <c r="H1900" t="inlineStr">
        <is>
          <t>Northgate Checking 7742</t>
        </is>
      </c>
      <c r="I1900" t="inlineStr">
        <is>
          <t>Product</t>
        </is>
      </c>
      <c r="K1900">
        <f>876.74</f>
        <v/>
      </c>
    </row>
    <row r="1901">
      <c r="A1901" t="inlineStr">
        <is>
          <t>Total for T-00378</t>
        </is>
      </c>
      <c r="J1901">
        <f>J1899</f>
        <v/>
      </c>
      <c r="K1901">
        <f>K1900</f>
        <v/>
      </c>
    </row>
    <row r="1902"/>
    <row r="1903">
      <c r="A1903" t="inlineStr">
        <is>
          <t>T-00385</t>
        </is>
      </c>
    </row>
    <row r="1904">
      <c r="B1904" t="inlineStr">
        <is>
          <t>08/14/2025</t>
        </is>
      </c>
      <c r="C1904" t="inlineStr">
        <is>
          <t>Expense</t>
        </is>
      </c>
      <c r="D1904" t="inlineStr"/>
      <c r="E1904" t="inlineStr">
        <is>
          <t>Quartz CAD Services</t>
        </is>
      </c>
      <c r="F1904" t="inlineStr">
        <is>
          <t>Quartz CAD Services invoice 45976</t>
        </is>
      </c>
      <c r="G1904" t="inlineStr">
        <is>
          <t>6100</t>
        </is>
      </c>
      <c r="H1904" t="inlineStr">
        <is>
          <t>Contract Engineering</t>
        </is>
      </c>
      <c r="I1904" t="inlineStr">
        <is>
          <t>Product</t>
        </is>
      </c>
      <c r="J1904">
        <f>289.46</f>
        <v/>
      </c>
    </row>
    <row r="1905">
      <c r="B1905" t="inlineStr">
        <is>
          <t>08/14/2025</t>
        </is>
      </c>
      <c r="C1905" t="inlineStr">
        <is>
          <t>Expense</t>
        </is>
      </c>
      <c r="D1905" t="inlineStr"/>
      <c r="E1905" t="inlineStr">
        <is>
          <t>Quartz CAD Services</t>
        </is>
      </c>
      <c r="F1905" t="inlineStr">
        <is>
          <t>Quartz CAD Services invoice 45976</t>
        </is>
      </c>
      <c r="G1905" t="inlineStr">
        <is>
          <t>1010</t>
        </is>
      </c>
      <c r="H1905" t="inlineStr">
        <is>
          <t>Northgate Checking 7742</t>
        </is>
      </c>
      <c r="I1905" t="inlineStr">
        <is>
          <t>Product</t>
        </is>
      </c>
      <c r="K1905">
        <f>289.46</f>
        <v/>
      </c>
    </row>
    <row r="1906">
      <c r="A1906" t="inlineStr">
        <is>
          <t>Total for T-00385</t>
        </is>
      </c>
      <c r="J1906">
        <f>J1904</f>
        <v/>
      </c>
      <c r="K1906">
        <f>K1905</f>
        <v/>
      </c>
    </row>
    <row r="1907"/>
    <row r="1908">
      <c r="A1908" t="inlineStr">
        <is>
          <t>T-00386</t>
        </is>
      </c>
    </row>
    <row r="1909">
      <c r="B1909" t="inlineStr">
        <is>
          <t>08/14/2025</t>
        </is>
      </c>
      <c r="C1909" t="inlineStr">
        <is>
          <t>Expense</t>
        </is>
      </c>
      <c r="D1909" t="inlineStr"/>
      <c r="E1909" t="inlineStr">
        <is>
          <t>Quartz CAD Services</t>
        </is>
      </c>
      <c r="F1909" t="inlineStr">
        <is>
          <t>Quartz CAD Services invoice 27500</t>
        </is>
      </c>
      <c r="G1909" t="inlineStr">
        <is>
          <t>6100</t>
        </is>
      </c>
      <c r="H1909" t="inlineStr">
        <is>
          <t>Contract Engineering</t>
        </is>
      </c>
      <c r="I1909" t="inlineStr">
        <is>
          <t>Product</t>
        </is>
      </c>
      <c r="J1909">
        <f>345.32</f>
        <v/>
      </c>
    </row>
    <row r="1910">
      <c r="B1910" t="inlineStr">
        <is>
          <t>08/14/2025</t>
        </is>
      </c>
      <c r="C1910" t="inlineStr">
        <is>
          <t>Expense</t>
        </is>
      </c>
      <c r="D1910" t="inlineStr"/>
      <c r="E1910" t="inlineStr">
        <is>
          <t>Quartz CAD Services</t>
        </is>
      </c>
      <c r="F1910" t="inlineStr">
        <is>
          <t>Quartz CAD Services invoice 27500</t>
        </is>
      </c>
      <c r="G1910" t="inlineStr">
        <is>
          <t>1010</t>
        </is>
      </c>
      <c r="H1910" t="inlineStr">
        <is>
          <t>Northgate Checking 7742</t>
        </is>
      </c>
      <c r="I1910" t="inlineStr">
        <is>
          <t>Product</t>
        </is>
      </c>
      <c r="K1910">
        <f>345.32</f>
        <v/>
      </c>
    </row>
    <row r="1911">
      <c r="A1911" t="inlineStr">
        <is>
          <t>Total for T-00386</t>
        </is>
      </c>
      <c r="J1911">
        <f>J1909</f>
        <v/>
      </c>
      <c r="K1911">
        <f>K1910</f>
        <v/>
      </c>
    </row>
    <row r="1912"/>
    <row r="1913">
      <c r="A1913" t="inlineStr">
        <is>
          <t>T-00356</t>
        </is>
      </c>
    </row>
    <row r="1914">
      <c r="B1914" t="inlineStr">
        <is>
          <t>08/15/2025</t>
        </is>
      </c>
      <c r="C1914" t="inlineStr">
        <is>
          <t>Expense</t>
        </is>
      </c>
      <c r="D1914" t="inlineStr"/>
      <c r="E1914" t="inlineStr">
        <is>
          <t>Proseware Payroll</t>
        </is>
      </c>
      <c r="F1914" t="inlineStr">
        <is>
          <t>Payroll 2025-08-15 gross wages</t>
        </is>
      </c>
      <c r="G1914" t="inlineStr">
        <is>
          <t>6000</t>
        </is>
      </c>
      <c r="H1914" t="inlineStr">
        <is>
          <t>Salaries and Wages</t>
        </is>
      </c>
      <c r="I1914" t="inlineStr">
        <is>
          <t>Overhead</t>
        </is>
      </c>
      <c r="J1914">
        <f>22150.00</f>
        <v/>
      </c>
    </row>
    <row r="1915">
      <c r="B1915" t="inlineStr">
        <is>
          <t>08/15/2025</t>
        </is>
      </c>
      <c r="C1915" t="inlineStr">
        <is>
          <t>Expense</t>
        </is>
      </c>
      <c r="D1915" t="inlineStr"/>
      <c r="E1915" t="inlineStr">
        <is>
          <t>Proseware Payroll</t>
        </is>
      </c>
      <c r="F1915" t="inlineStr">
        <is>
          <t>Payroll 2025-08-15 employer taxes</t>
        </is>
      </c>
      <c r="G1915" t="inlineStr">
        <is>
          <t>6010</t>
        </is>
      </c>
      <c r="H1915" t="inlineStr">
        <is>
          <t>Payroll Taxes</t>
        </is>
      </c>
      <c r="I1915" t="inlineStr">
        <is>
          <t>Overhead</t>
        </is>
      </c>
      <c r="J1915">
        <f>1694.48</f>
        <v/>
      </c>
    </row>
    <row r="1916">
      <c r="B1916" t="inlineStr">
        <is>
          <t>08/15/2025</t>
        </is>
      </c>
      <c r="C1916" t="inlineStr">
        <is>
          <t>Expense</t>
        </is>
      </c>
      <c r="D1916" t="inlineStr"/>
      <c r="E1916" t="inlineStr">
        <is>
          <t>Proseware Payroll</t>
        </is>
      </c>
      <c r="F1916" t="inlineStr">
        <is>
          <t>Proseware payroll debit 2025-08-15</t>
        </is>
      </c>
      <c r="G1916" t="inlineStr">
        <is>
          <t>1010</t>
        </is>
      </c>
      <c r="H1916" t="inlineStr">
        <is>
          <t>Northgate Checking 7742</t>
        </is>
      </c>
      <c r="I1916" t="inlineStr">
        <is>
          <t>Overhead</t>
        </is>
      </c>
      <c r="K1916">
        <f>23844.48</f>
        <v/>
      </c>
    </row>
    <row r="1917">
      <c r="A1917" t="inlineStr">
        <is>
          <t>Total for T-00356</t>
        </is>
      </c>
      <c r="J1917">
        <f>J1914+J1915</f>
        <v/>
      </c>
      <c r="K1917">
        <f>K1916</f>
        <v/>
      </c>
    </row>
    <row r="1918"/>
    <row r="1919">
      <c r="A1919" t="inlineStr">
        <is>
          <t>T-00358</t>
        </is>
      </c>
    </row>
    <row r="1920">
      <c r="B1920" t="inlineStr">
        <is>
          <t>08/15/2025</t>
        </is>
      </c>
      <c r="C1920" t="inlineStr">
        <is>
          <t>Deposit</t>
        </is>
      </c>
      <c r="D1920" t="inlineStr"/>
      <c r="E1920" t="inlineStr">
        <is>
          <t>Paylane</t>
        </is>
      </c>
      <c r="F1920" t="inlineStr">
        <is>
          <t>Paylane payout 2025-08 #1</t>
        </is>
      </c>
      <c r="G1920" t="inlineStr">
        <is>
          <t>1010</t>
        </is>
      </c>
      <c r="H1920" t="inlineStr">
        <is>
          <t>Northgate Checking 7742</t>
        </is>
      </c>
      <c r="I1920" t="inlineStr">
        <is>
          <t>Product</t>
        </is>
      </c>
      <c r="J1920">
        <f>18094.91</f>
        <v/>
      </c>
    </row>
    <row r="1921">
      <c r="B1921" t="inlineStr">
        <is>
          <t>08/15/2025</t>
        </is>
      </c>
      <c r="C1921" t="inlineStr">
        <is>
          <t>Deposit</t>
        </is>
      </c>
      <c r="D1921" t="inlineStr"/>
      <c r="E1921" t="inlineStr">
        <is>
          <t>Paylane</t>
        </is>
      </c>
      <c r="F1921" t="inlineStr">
        <is>
          <t>Paylane payout 2025-08 #1</t>
        </is>
      </c>
      <c r="G1921" t="inlineStr">
        <is>
          <t>1200</t>
        </is>
      </c>
      <c r="H1921" t="inlineStr">
        <is>
          <t>Paylane Clearing</t>
        </is>
      </c>
      <c r="I1921" t="inlineStr">
        <is>
          <t>Product</t>
        </is>
      </c>
      <c r="K1921">
        <f>18094.91</f>
        <v/>
      </c>
    </row>
    <row r="1922">
      <c r="A1922" t="inlineStr">
        <is>
          <t>Total for T-00358</t>
        </is>
      </c>
      <c r="J1922">
        <f>J1920</f>
        <v/>
      </c>
      <c r="K1922">
        <f>K1921</f>
        <v/>
      </c>
    </row>
    <row r="1923"/>
    <row r="1924">
      <c r="A1924" t="inlineStr">
        <is>
          <t>T-00388</t>
        </is>
      </c>
    </row>
    <row r="1925">
      <c r="B1925" t="inlineStr">
        <is>
          <t>08/15/2025</t>
        </is>
      </c>
      <c r="C1925" t="inlineStr">
        <is>
          <t>Expense</t>
        </is>
      </c>
      <c r="D1925" t="inlineStr"/>
      <c r="E1925" t="inlineStr">
        <is>
          <t>Redwood Prototyping</t>
        </is>
      </c>
      <c r="F1925" t="inlineStr">
        <is>
          <t>Redwood Prototyping invoice 76471</t>
        </is>
      </c>
      <c r="G1925" t="inlineStr">
        <is>
          <t>6100</t>
        </is>
      </c>
      <c r="H1925" t="inlineStr">
        <is>
          <t>Contract Engineering</t>
        </is>
      </c>
      <c r="I1925" t="inlineStr">
        <is>
          <t>Product</t>
        </is>
      </c>
      <c r="J1925">
        <f>1268.30</f>
        <v/>
      </c>
    </row>
    <row r="1926">
      <c r="B1926" t="inlineStr">
        <is>
          <t>08/15/2025</t>
        </is>
      </c>
      <c r="C1926" t="inlineStr">
        <is>
          <t>Expense</t>
        </is>
      </c>
      <c r="D1926" t="inlineStr"/>
      <c r="E1926" t="inlineStr">
        <is>
          <t>Redwood Prototyping</t>
        </is>
      </c>
      <c r="F1926" t="inlineStr">
        <is>
          <t>Redwood Prototyping invoice 76471</t>
        </is>
      </c>
      <c r="G1926" t="inlineStr">
        <is>
          <t>1010</t>
        </is>
      </c>
      <c r="H1926" t="inlineStr">
        <is>
          <t>Northgate Checking 7742</t>
        </is>
      </c>
      <c r="I1926" t="inlineStr">
        <is>
          <t>Product</t>
        </is>
      </c>
      <c r="K1926">
        <f>1268.30</f>
        <v/>
      </c>
    </row>
    <row r="1927">
      <c r="A1927" t="inlineStr">
        <is>
          <t>Total for T-00388</t>
        </is>
      </c>
      <c r="J1927">
        <f>J1925</f>
        <v/>
      </c>
      <c r="K1927">
        <f>K1926</f>
        <v/>
      </c>
    </row>
    <row r="1928"/>
    <row r="1929">
      <c r="A1929" t="inlineStr">
        <is>
          <t>T-00377</t>
        </is>
      </c>
    </row>
    <row r="1930">
      <c r="B1930" t="inlineStr">
        <is>
          <t>08/16/2025</t>
        </is>
      </c>
      <c r="C1930" t="inlineStr">
        <is>
          <t>Expense</t>
        </is>
      </c>
      <c r="D1930" t="inlineStr"/>
      <c r="E1930" t="inlineStr">
        <is>
          <t>Northwind Supply</t>
        </is>
      </c>
      <c r="F1930" t="inlineStr">
        <is>
          <t>Northwind Supply invoice 98133</t>
        </is>
      </c>
      <c r="G1930" t="inlineStr">
        <is>
          <t>5000</t>
        </is>
      </c>
      <c r="H1930" t="inlineStr">
        <is>
          <t>Cost of Goods Sold - Components</t>
        </is>
      </c>
      <c r="I1930" t="inlineStr">
        <is>
          <t>Product</t>
        </is>
      </c>
      <c r="J1930">
        <f>577.92</f>
        <v/>
      </c>
    </row>
    <row r="1931">
      <c r="B1931" t="inlineStr">
        <is>
          <t>08/16/2025</t>
        </is>
      </c>
      <c r="C1931" t="inlineStr">
        <is>
          <t>Expense</t>
        </is>
      </c>
      <c r="D1931" t="inlineStr"/>
      <c r="E1931" t="inlineStr">
        <is>
          <t>Northwind Supply</t>
        </is>
      </c>
      <c r="F1931" t="inlineStr">
        <is>
          <t>Northwind Supply invoice 98133</t>
        </is>
      </c>
      <c r="G1931" t="inlineStr">
        <is>
          <t>1010</t>
        </is>
      </c>
      <c r="H1931" t="inlineStr">
        <is>
          <t>Northgate Checking 7742</t>
        </is>
      </c>
      <c r="I1931" t="inlineStr">
        <is>
          <t>Product</t>
        </is>
      </c>
      <c r="K1931">
        <f>577.92</f>
        <v/>
      </c>
    </row>
    <row r="1932">
      <c r="A1932" t="inlineStr">
        <is>
          <t>Total for T-00377</t>
        </is>
      </c>
      <c r="J1932">
        <f>J1930</f>
        <v/>
      </c>
      <c r="K1932">
        <f>K1931</f>
        <v/>
      </c>
    </row>
    <row r="1933"/>
    <row r="1934">
      <c r="A1934" t="inlineStr">
        <is>
          <t>T-00369</t>
        </is>
      </c>
    </row>
    <row r="1935">
      <c r="B1935" t="inlineStr">
        <is>
          <t>08/17/2025</t>
        </is>
      </c>
      <c r="C1935" t="inlineStr">
        <is>
          <t>Expense</t>
        </is>
      </c>
      <c r="D1935" t="inlineStr"/>
      <c r="E1935" t="inlineStr">
        <is>
          <t>Northwind Supply</t>
        </is>
      </c>
      <c r="F1935" t="inlineStr">
        <is>
          <t>Northwind Supply invoice 54761</t>
        </is>
      </c>
      <c r="G1935" t="inlineStr">
        <is>
          <t>5000</t>
        </is>
      </c>
      <c r="H1935" t="inlineStr">
        <is>
          <t>Cost of Goods Sold - Components</t>
        </is>
      </c>
      <c r="I1935" t="inlineStr">
        <is>
          <t>Product</t>
        </is>
      </c>
      <c r="J1935">
        <f>232.86</f>
        <v/>
      </c>
    </row>
    <row r="1936">
      <c r="B1936" t="inlineStr">
        <is>
          <t>08/17/2025</t>
        </is>
      </c>
      <c r="C1936" t="inlineStr">
        <is>
          <t>Expense</t>
        </is>
      </c>
      <c r="D1936" t="inlineStr"/>
      <c r="E1936" t="inlineStr">
        <is>
          <t>Northwind Supply</t>
        </is>
      </c>
      <c r="F1936" t="inlineStr">
        <is>
          <t>Northwind Supply invoice 54761</t>
        </is>
      </c>
      <c r="G1936" t="inlineStr">
        <is>
          <t>1010</t>
        </is>
      </c>
      <c r="H1936" t="inlineStr">
        <is>
          <t>Northgate Checking 7742</t>
        </is>
      </c>
      <c r="I1936" t="inlineStr">
        <is>
          <t>Product</t>
        </is>
      </c>
      <c r="K1936">
        <f>232.86</f>
        <v/>
      </c>
    </row>
    <row r="1937">
      <c r="A1937" t="inlineStr">
        <is>
          <t>Total for T-00369</t>
        </is>
      </c>
      <c r="J1937">
        <f>J1935</f>
        <v/>
      </c>
      <c r="K1937">
        <f>K1936</f>
        <v/>
      </c>
    </row>
    <row r="1938"/>
    <row r="1939">
      <c r="A1939" t="inlineStr">
        <is>
          <t>T-00361</t>
        </is>
      </c>
    </row>
    <row r="1940">
      <c r="B1940" t="inlineStr">
        <is>
          <t>08/18/2025</t>
        </is>
      </c>
      <c r="C1940" t="inlineStr">
        <is>
          <t>Expense</t>
        </is>
      </c>
      <c r="D1940" t="inlineStr"/>
      <c r="E1940" t="inlineStr">
        <is>
          <t>Trey Research</t>
        </is>
      </c>
      <c r="F1940" t="inlineStr">
        <is>
          <t>Trey Research monthly engagement</t>
        </is>
      </c>
      <c r="G1940" t="inlineStr">
        <is>
          <t>6100</t>
        </is>
      </c>
      <c r="H1940" t="inlineStr">
        <is>
          <t>Contract Engineering</t>
        </is>
      </c>
      <c r="I1940" t="inlineStr">
        <is>
          <t>Product</t>
        </is>
      </c>
      <c r="J1940">
        <f>2166.25</f>
        <v/>
      </c>
    </row>
    <row r="1941">
      <c r="B1941" t="inlineStr">
        <is>
          <t>08/18/2025</t>
        </is>
      </c>
      <c r="C1941" t="inlineStr">
        <is>
          <t>Expense</t>
        </is>
      </c>
      <c r="D1941" t="inlineStr"/>
      <c r="E1941" t="inlineStr">
        <is>
          <t>Trey Research</t>
        </is>
      </c>
      <c r="F1941" t="inlineStr">
        <is>
          <t>Trey Research monthly engagement</t>
        </is>
      </c>
      <c r="G1941" t="inlineStr">
        <is>
          <t>1010</t>
        </is>
      </c>
      <c r="H1941" t="inlineStr">
        <is>
          <t>Northgate Checking 7742</t>
        </is>
      </c>
      <c r="I1941" t="inlineStr">
        <is>
          <t>Product</t>
        </is>
      </c>
      <c r="K1941">
        <f>2166.25</f>
        <v/>
      </c>
    </row>
    <row r="1942">
      <c r="A1942" t="inlineStr">
        <is>
          <t>Total for T-00361</t>
        </is>
      </c>
      <c r="J1942">
        <f>J1940</f>
        <v/>
      </c>
      <c r="K1942">
        <f>K1941</f>
        <v/>
      </c>
    </row>
    <row r="1943"/>
    <row r="1944">
      <c r="A1944" t="inlineStr">
        <is>
          <t>T-00368</t>
        </is>
      </c>
    </row>
    <row r="1945">
      <c r="B1945" t="inlineStr">
        <is>
          <t>08/18/2025</t>
        </is>
      </c>
      <c r="C1945" t="inlineStr">
        <is>
          <t>Expense</t>
        </is>
      </c>
      <c r="D1945" t="inlineStr"/>
      <c r="E1945" t="inlineStr">
        <is>
          <t>Quartz CAD Services</t>
        </is>
      </c>
      <c r="F1945" t="inlineStr">
        <is>
          <t>Quartz CAD Services invoice 58805</t>
        </is>
      </c>
      <c r="G1945" t="inlineStr">
        <is>
          <t>6100</t>
        </is>
      </c>
      <c r="H1945" t="inlineStr">
        <is>
          <t>Contract Engineering</t>
        </is>
      </c>
      <c r="I1945" t="inlineStr">
        <is>
          <t>Product</t>
        </is>
      </c>
      <c r="J1945">
        <f>247.55</f>
        <v/>
      </c>
    </row>
    <row r="1946">
      <c r="B1946" t="inlineStr">
        <is>
          <t>08/18/2025</t>
        </is>
      </c>
      <c r="C1946" t="inlineStr">
        <is>
          <t>Expense</t>
        </is>
      </c>
      <c r="D1946" t="inlineStr"/>
      <c r="E1946" t="inlineStr">
        <is>
          <t>Quartz CAD Services</t>
        </is>
      </c>
      <c r="F1946" t="inlineStr">
        <is>
          <t>Quartz CAD Services invoice 58805</t>
        </is>
      </c>
      <c r="G1946" t="inlineStr">
        <is>
          <t>1010</t>
        </is>
      </c>
      <c r="H1946" t="inlineStr">
        <is>
          <t>Northgate Checking 7742</t>
        </is>
      </c>
      <c r="I1946" t="inlineStr">
        <is>
          <t>Product</t>
        </is>
      </c>
      <c r="K1946">
        <f>247.55</f>
        <v/>
      </c>
    </row>
    <row r="1947">
      <c r="A1947" t="inlineStr">
        <is>
          <t>Total for T-00368</t>
        </is>
      </c>
      <c r="J1947">
        <f>J1945</f>
        <v/>
      </c>
      <c r="K1947">
        <f>K1946</f>
        <v/>
      </c>
    </row>
    <row r="1948"/>
    <row r="1949">
      <c r="A1949" t="inlineStr">
        <is>
          <t>T-00391</t>
        </is>
      </c>
    </row>
    <row r="1950">
      <c r="B1950" t="inlineStr">
        <is>
          <t>08/19/2025</t>
        </is>
      </c>
      <c r="C1950" t="inlineStr">
        <is>
          <t>Expense</t>
        </is>
      </c>
      <c r="D1950" t="inlineStr"/>
      <c r="E1950" t="inlineStr">
        <is>
          <t>Bluepeak Engineering</t>
        </is>
      </c>
      <c r="F1950" t="inlineStr">
        <is>
          <t>Bluepeak Engineering invoice 45334</t>
        </is>
      </c>
      <c r="G1950" t="inlineStr">
        <is>
          <t>6100</t>
        </is>
      </c>
      <c r="H1950" t="inlineStr">
        <is>
          <t>Contract Engineering</t>
        </is>
      </c>
      <c r="I1950" t="inlineStr">
        <is>
          <t>Product</t>
        </is>
      </c>
      <c r="J1950">
        <f>1488.02</f>
        <v/>
      </c>
    </row>
    <row r="1951">
      <c r="B1951" t="inlineStr">
        <is>
          <t>08/19/2025</t>
        </is>
      </c>
      <c r="C1951" t="inlineStr">
        <is>
          <t>Expense</t>
        </is>
      </c>
      <c r="D1951" t="inlineStr"/>
      <c r="E1951" t="inlineStr">
        <is>
          <t>Bluepeak Engineering</t>
        </is>
      </c>
      <c r="F1951" t="inlineStr">
        <is>
          <t>Bluepeak Engineering invoice 45334</t>
        </is>
      </c>
      <c r="G1951" t="inlineStr">
        <is>
          <t>1010</t>
        </is>
      </c>
      <c r="H1951" t="inlineStr">
        <is>
          <t>Northgate Checking 7742</t>
        </is>
      </c>
      <c r="I1951" t="inlineStr">
        <is>
          <t>Product</t>
        </is>
      </c>
      <c r="K1951">
        <f>1488.02</f>
        <v/>
      </c>
    </row>
    <row r="1952">
      <c r="A1952" t="inlineStr">
        <is>
          <t>Total for T-00391</t>
        </is>
      </c>
      <c r="J1952">
        <f>J1950</f>
        <v/>
      </c>
      <c r="K1952">
        <f>K1951</f>
        <v/>
      </c>
    </row>
    <row r="1953"/>
    <row r="1954">
      <c r="A1954" t="inlineStr">
        <is>
          <t>T-00355</t>
        </is>
      </c>
    </row>
    <row r="1955">
      <c r="B1955" t="inlineStr">
        <is>
          <t>08/20/2025</t>
        </is>
      </c>
      <c r="C1955" t="inlineStr">
        <is>
          <t>Bill</t>
        </is>
      </c>
      <c r="D1955" t="inlineStr">
        <is>
          <t>NWS-4407</t>
        </is>
      </c>
      <c r="E1955" t="inlineStr">
        <is>
          <t>Northwind Supply</t>
        </is>
      </c>
      <c r="F1955" t="inlineStr">
        <is>
          <t>NWS-4407 components</t>
        </is>
      </c>
      <c r="G1955" t="inlineStr">
        <is>
          <t>5000</t>
        </is>
      </c>
      <c r="H1955" t="inlineStr">
        <is>
          <t>Cost of Goods Sold - Components</t>
        </is>
      </c>
      <c r="I1955" t="inlineStr">
        <is>
          <t>Product</t>
        </is>
      </c>
      <c r="J1955">
        <f>13791.23</f>
        <v/>
      </c>
    </row>
    <row r="1956">
      <c r="B1956" t="inlineStr">
        <is>
          <t>08/20/2025</t>
        </is>
      </c>
      <c r="C1956" t="inlineStr">
        <is>
          <t>Bill</t>
        </is>
      </c>
      <c r="D1956" t="inlineStr">
        <is>
          <t>NWS-4407</t>
        </is>
      </c>
      <c r="E1956" t="inlineStr">
        <is>
          <t>Northwind Supply</t>
        </is>
      </c>
      <c r="F1956" t="inlineStr">
        <is>
          <t>NWS-4407 components</t>
        </is>
      </c>
      <c r="G1956" t="inlineStr">
        <is>
          <t>2010</t>
        </is>
      </c>
      <c r="H1956" t="inlineStr">
        <is>
          <t>Accounts Payable</t>
        </is>
      </c>
      <c r="I1956" t="inlineStr">
        <is>
          <t>Product</t>
        </is>
      </c>
      <c r="K1956">
        <f>13791.23</f>
        <v/>
      </c>
    </row>
    <row r="1957">
      <c r="A1957" t="inlineStr">
        <is>
          <t>Total for T-00355</t>
        </is>
      </c>
      <c r="J1957">
        <f>J1955</f>
        <v/>
      </c>
      <c r="K1957">
        <f>K1956</f>
        <v/>
      </c>
    </row>
    <row r="1958"/>
    <row r="1959">
      <c r="A1959" t="inlineStr">
        <is>
          <t>T-00389</t>
        </is>
      </c>
    </row>
    <row r="1960">
      <c r="B1960" t="inlineStr">
        <is>
          <t>08/22/2025</t>
        </is>
      </c>
      <c r="C1960" t="inlineStr">
        <is>
          <t>Expense</t>
        </is>
      </c>
      <c r="D1960" t="inlineStr"/>
      <c r="E1960" t="inlineStr">
        <is>
          <t>Fabrikam Freight</t>
        </is>
      </c>
      <c r="F1960" t="inlineStr">
        <is>
          <t>Fabrikam Freight invoice 93441</t>
        </is>
      </c>
      <c r="G1960" t="inlineStr">
        <is>
          <t>5100</t>
        </is>
      </c>
      <c r="H1960" t="inlineStr">
        <is>
          <t>Shipping and Freight</t>
        </is>
      </c>
      <c r="I1960" t="inlineStr">
        <is>
          <t>Product</t>
        </is>
      </c>
      <c r="J1960">
        <f>174.74</f>
        <v/>
      </c>
    </row>
    <row r="1961">
      <c r="B1961" t="inlineStr">
        <is>
          <t>08/22/2025</t>
        </is>
      </c>
      <c r="C1961" t="inlineStr">
        <is>
          <t>Expense</t>
        </is>
      </c>
      <c r="D1961" t="inlineStr"/>
      <c r="E1961" t="inlineStr">
        <is>
          <t>Fabrikam Freight</t>
        </is>
      </c>
      <c r="F1961" t="inlineStr">
        <is>
          <t>Fabrikam Freight invoice 93441</t>
        </is>
      </c>
      <c r="G1961" t="inlineStr">
        <is>
          <t>1010</t>
        </is>
      </c>
      <c r="H1961" t="inlineStr">
        <is>
          <t>Northgate Checking 7742</t>
        </is>
      </c>
      <c r="I1961" t="inlineStr">
        <is>
          <t>Product</t>
        </is>
      </c>
      <c r="K1961">
        <f>174.74</f>
        <v/>
      </c>
    </row>
    <row r="1962">
      <c r="A1962" t="inlineStr">
        <is>
          <t>Total for T-00389</t>
        </is>
      </c>
      <c r="J1962">
        <f>J1960</f>
        <v/>
      </c>
      <c r="K1962">
        <f>K1961</f>
        <v/>
      </c>
    </row>
    <row r="1963"/>
    <row r="1964">
      <c r="A1964" t="inlineStr">
        <is>
          <t>T-00381</t>
        </is>
      </c>
    </row>
    <row r="1965">
      <c r="B1965" t="inlineStr">
        <is>
          <t>08/23/2025</t>
        </is>
      </c>
      <c r="C1965" t="inlineStr">
        <is>
          <t>Expense</t>
        </is>
      </c>
      <c r="D1965" t="inlineStr"/>
      <c r="E1965" t="inlineStr">
        <is>
          <t>Northwind Supply</t>
        </is>
      </c>
      <c r="F1965" t="inlineStr">
        <is>
          <t>Northwind Supply invoice 52776</t>
        </is>
      </c>
      <c r="G1965" t="inlineStr">
        <is>
          <t>5000</t>
        </is>
      </c>
      <c r="H1965" t="inlineStr">
        <is>
          <t>Cost of Goods Sold - Components</t>
        </is>
      </c>
      <c r="I1965" t="inlineStr">
        <is>
          <t>Product</t>
        </is>
      </c>
      <c r="J1965">
        <f>488.43</f>
        <v/>
      </c>
    </row>
    <row r="1966">
      <c r="B1966" t="inlineStr">
        <is>
          <t>08/23/2025</t>
        </is>
      </c>
      <c r="C1966" t="inlineStr">
        <is>
          <t>Expense</t>
        </is>
      </c>
      <c r="D1966" t="inlineStr"/>
      <c r="E1966" t="inlineStr">
        <is>
          <t>Northwind Supply</t>
        </is>
      </c>
      <c r="F1966" t="inlineStr">
        <is>
          <t>Northwind Supply invoice 52776</t>
        </is>
      </c>
      <c r="G1966" t="inlineStr">
        <is>
          <t>1010</t>
        </is>
      </c>
      <c r="H1966" t="inlineStr">
        <is>
          <t>Northgate Checking 7742</t>
        </is>
      </c>
      <c r="I1966" t="inlineStr">
        <is>
          <t>Product</t>
        </is>
      </c>
      <c r="K1966">
        <f>488.43</f>
        <v/>
      </c>
    </row>
    <row r="1967">
      <c r="A1967" t="inlineStr">
        <is>
          <t>Total for T-00381</t>
        </is>
      </c>
      <c r="J1967">
        <f>J1965</f>
        <v/>
      </c>
      <c r="K1967">
        <f>K1966</f>
        <v/>
      </c>
    </row>
    <row r="1968"/>
    <row r="1969">
      <c r="A1969" t="inlineStr">
        <is>
          <t>T-00394</t>
        </is>
      </c>
    </row>
    <row r="1970">
      <c r="B1970" t="inlineStr">
        <is>
          <t>08/23/2025</t>
        </is>
      </c>
      <c r="C1970" t="inlineStr">
        <is>
          <t>Expense</t>
        </is>
      </c>
      <c r="D1970" t="inlineStr"/>
      <c r="E1970" t="inlineStr">
        <is>
          <t>Bluepeak Engineering</t>
        </is>
      </c>
      <c r="F1970" t="inlineStr">
        <is>
          <t>Bluepeak Engineering invoice 53742</t>
        </is>
      </c>
      <c r="G1970" t="inlineStr">
        <is>
          <t>6100</t>
        </is>
      </c>
      <c r="H1970" t="inlineStr">
        <is>
          <t>Contract Engineering</t>
        </is>
      </c>
      <c r="I1970" t="inlineStr">
        <is>
          <t>Product</t>
        </is>
      </c>
      <c r="J1970">
        <f>1483.99</f>
        <v/>
      </c>
    </row>
    <row r="1971">
      <c r="B1971" t="inlineStr">
        <is>
          <t>08/23/2025</t>
        </is>
      </c>
      <c r="C1971" t="inlineStr">
        <is>
          <t>Expense</t>
        </is>
      </c>
      <c r="D1971" t="inlineStr"/>
      <c r="E1971" t="inlineStr">
        <is>
          <t>Bluepeak Engineering</t>
        </is>
      </c>
      <c r="F1971" t="inlineStr">
        <is>
          <t>Bluepeak Engineering invoice 53742</t>
        </is>
      </c>
      <c r="G1971" t="inlineStr">
        <is>
          <t>1010</t>
        </is>
      </c>
      <c r="H1971" t="inlineStr">
        <is>
          <t>Northgate Checking 7742</t>
        </is>
      </c>
      <c r="I1971" t="inlineStr">
        <is>
          <t>Product</t>
        </is>
      </c>
      <c r="K1971">
        <f>1483.99</f>
        <v/>
      </c>
    </row>
    <row r="1972">
      <c r="A1972" t="inlineStr">
        <is>
          <t>Total for T-00394</t>
        </is>
      </c>
      <c r="J1972">
        <f>J1970</f>
        <v/>
      </c>
      <c r="K1972">
        <f>K1971</f>
        <v/>
      </c>
    </row>
    <row r="1973"/>
    <row r="1974">
      <c r="A1974" t="inlineStr">
        <is>
          <t>T-00372</t>
        </is>
      </c>
    </row>
    <row r="1975">
      <c r="B1975" t="inlineStr">
        <is>
          <t>08/25/2025</t>
        </is>
      </c>
      <c r="C1975" t="inlineStr">
        <is>
          <t>Expense</t>
        </is>
      </c>
      <c r="D1975" t="inlineStr"/>
      <c r="E1975" t="inlineStr">
        <is>
          <t>Northwind Supply</t>
        </is>
      </c>
      <c r="F1975" t="inlineStr">
        <is>
          <t>Northwind Supply invoice 49526</t>
        </is>
      </c>
      <c r="G1975" t="inlineStr">
        <is>
          <t>5000</t>
        </is>
      </c>
      <c r="H1975" t="inlineStr">
        <is>
          <t>Cost of Goods Sold - Components</t>
        </is>
      </c>
      <c r="I1975" t="inlineStr">
        <is>
          <t>Product</t>
        </is>
      </c>
      <c r="J1975">
        <f>1037.97</f>
        <v/>
      </c>
    </row>
    <row r="1976">
      <c r="B1976" t="inlineStr">
        <is>
          <t>08/25/2025</t>
        </is>
      </c>
      <c r="C1976" t="inlineStr">
        <is>
          <t>Expense</t>
        </is>
      </c>
      <c r="D1976" t="inlineStr"/>
      <c r="E1976" t="inlineStr">
        <is>
          <t>Northwind Supply</t>
        </is>
      </c>
      <c r="F1976" t="inlineStr">
        <is>
          <t>Northwind Supply invoice 49526</t>
        </is>
      </c>
      <c r="G1976" t="inlineStr">
        <is>
          <t>1010</t>
        </is>
      </c>
      <c r="H1976" t="inlineStr">
        <is>
          <t>Northgate Checking 7742</t>
        </is>
      </c>
      <c r="I1976" t="inlineStr">
        <is>
          <t>Product</t>
        </is>
      </c>
      <c r="K1976">
        <f>1037.97</f>
        <v/>
      </c>
    </row>
    <row r="1977">
      <c r="A1977" t="inlineStr">
        <is>
          <t>Total for T-00372</t>
        </is>
      </c>
      <c r="J1977">
        <f>J1975</f>
        <v/>
      </c>
      <c r="K1977">
        <f>K1976</f>
        <v/>
      </c>
    </row>
    <row r="1978"/>
    <row r="1979">
      <c r="A1979" t="inlineStr">
        <is>
          <t>T-00362</t>
        </is>
      </c>
    </row>
    <row r="1980">
      <c r="B1980" t="inlineStr">
        <is>
          <t>08/26/2025</t>
        </is>
      </c>
      <c r="C1980" t="inlineStr">
        <is>
          <t>Expense</t>
        </is>
      </c>
      <c r="D1980" t="inlineStr"/>
      <c r="E1980" t="inlineStr">
        <is>
          <t>Trey Research</t>
        </is>
      </c>
      <c r="F1980" t="inlineStr">
        <is>
          <t>Trey Research monthly engagement</t>
        </is>
      </c>
      <c r="G1980" t="inlineStr">
        <is>
          <t>6800</t>
        </is>
      </c>
      <c r="H1980" t="inlineStr">
        <is>
          <t>Professional Fees</t>
        </is>
      </c>
      <c r="I1980" t="inlineStr">
        <is>
          <t>Overhead</t>
        </is>
      </c>
      <c r="J1980">
        <f>2278.70</f>
        <v/>
      </c>
    </row>
    <row r="1981">
      <c r="B1981" t="inlineStr">
        <is>
          <t>08/26/2025</t>
        </is>
      </c>
      <c r="C1981" t="inlineStr">
        <is>
          <t>Expense</t>
        </is>
      </c>
      <c r="D1981" t="inlineStr"/>
      <c r="E1981" t="inlineStr">
        <is>
          <t>Trey Research</t>
        </is>
      </c>
      <c r="F1981" t="inlineStr">
        <is>
          <t>Trey Research monthly engagement</t>
        </is>
      </c>
      <c r="G1981" t="inlineStr">
        <is>
          <t>1010</t>
        </is>
      </c>
      <c r="H1981" t="inlineStr">
        <is>
          <t>Northgate Checking 7742</t>
        </is>
      </c>
      <c r="I1981" t="inlineStr">
        <is>
          <t>Overhead</t>
        </is>
      </c>
      <c r="K1981">
        <f>2278.70</f>
        <v/>
      </c>
    </row>
    <row r="1982">
      <c r="A1982" t="inlineStr">
        <is>
          <t>Total for T-00362</t>
        </is>
      </c>
      <c r="J1982">
        <f>J1980</f>
        <v/>
      </c>
      <c r="K1982">
        <f>K1981</f>
        <v/>
      </c>
    </row>
    <row r="1983"/>
    <row r="1984">
      <c r="A1984" t="inlineStr">
        <is>
          <t>T-00382</t>
        </is>
      </c>
    </row>
    <row r="1985">
      <c r="B1985" t="inlineStr">
        <is>
          <t>08/27/2025</t>
        </is>
      </c>
      <c r="C1985" t="inlineStr">
        <is>
          <t>Expense</t>
        </is>
      </c>
      <c r="D1985" t="inlineStr"/>
      <c r="E1985" t="inlineStr">
        <is>
          <t>Redwood Prototyping</t>
        </is>
      </c>
      <c r="F1985" t="inlineStr">
        <is>
          <t>Redwood Prototyping invoice 38698</t>
        </is>
      </c>
      <c r="G1985" t="inlineStr">
        <is>
          <t>6100</t>
        </is>
      </c>
      <c r="H1985" t="inlineStr">
        <is>
          <t>Contract Engineering</t>
        </is>
      </c>
      <c r="I1985" t="inlineStr">
        <is>
          <t>Product</t>
        </is>
      </c>
      <c r="J1985">
        <f>493.58</f>
        <v/>
      </c>
    </row>
    <row r="1986">
      <c r="B1986" t="inlineStr">
        <is>
          <t>08/27/2025</t>
        </is>
      </c>
      <c r="C1986" t="inlineStr">
        <is>
          <t>Expense</t>
        </is>
      </c>
      <c r="D1986" t="inlineStr"/>
      <c r="E1986" t="inlineStr">
        <is>
          <t>Redwood Prototyping</t>
        </is>
      </c>
      <c r="F1986" t="inlineStr">
        <is>
          <t>Redwood Prototyping invoice 38698</t>
        </is>
      </c>
      <c r="G1986" t="inlineStr">
        <is>
          <t>1010</t>
        </is>
      </c>
      <c r="H1986" t="inlineStr">
        <is>
          <t>Northgate Checking 7742</t>
        </is>
      </c>
      <c r="I1986" t="inlineStr">
        <is>
          <t>Product</t>
        </is>
      </c>
      <c r="K1986">
        <f>493.58</f>
        <v/>
      </c>
    </row>
    <row r="1987">
      <c r="A1987" t="inlineStr">
        <is>
          <t>Total for T-00382</t>
        </is>
      </c>
      <c r="J1987">
        <f>J1985</f>
        <v/>
      </c>
      <c r="K1987">
        <f>K1986</f>
        <v/>
      </c>
    </row>
    <row r="1988"/>
    <row r="1989">
      <c r="A1989" t="inlineStr">
        <is>
          <t>T-00357</t>
        </is>
      </c>
    </row>
    <row r="1990">
      <c r="B1990" t="inlineStr">
        <is>
          <t>08/31/2025</t>
        </is>
      </c>
      <c r="C1990" t="inlineStr">
        <is>
          <t>Expense</t>
        </is>
      </c>
      <c r="D1990" t="inlineStr"/>
      <c r="E1990" t="inlineStr">
        <is>
          <t>Proseware Payroll</t>
        </is>
      </c>
      <c r="F1990" t="inlineStr">
        <is>
          <t>Payroll 2025-08-31 gross wages</t>
        </is>
      </c>
      <c r="G1990" t="inlineStr">
        <is>
          <t>6000</t>
        </is>
      </c>
      <c r="H1990" t="inlineStr">
        <is>
          <t>Salaries and Wages</t>
        </is>
      </c>
      <c r="I1990" t="inlineStr">
        <is>
          <t>Overhead</t>
        </is>
      </c>
      <c r="J1990">
        <f>22150.00</f>
        <v/>
      </c>
    </row>
    <row r="1991">
      <c r="B1991" t="inlineStr">
        <is>
          <t>08/31/2025</t>
        </is>
      </c>
      <c r="C1991" t="inlineStr">
        <is>
          <t>Expense</t>
        </is>
      </c>
      <c r="D1991" t="inlineStr"/>
      <c r="E1991" t="inlineStr">
        <is>
          <t>Proseware Payroll</t>
        </is>
      </c>
      <c r="F1991" t="inlineStr">
        <is>
          <t>Payroll 2025-08-31 employer taxes</t>
        </is>
      </c>
      <c r="G1991" t="inlineStr">
        <is>
          <t>6010</t>
        </is>
      </c>
      <c r="H1991" t="inlineStr">
        <is>
          <t>Payroll Taxes</t>
        </is>
      </c>
      <c r="I1991" t="inlineStr">
        <is>
          <t>Overhead</t>
        </is>
      </c>
      <c r="J1991">
        <f>1694.48</f>
        <v/>
      </c>
    </row>
    <row r="1992">
      <c r="B1992" t="inlineStr">
        <is>
          <t>08/31/2025</t>
        </is>
      </c>
      <c r="C1992" t="inlineStr">
        <is>
          <t>Expense</t>
        </is>
      </c>
      <c r="D1992" t="inlineStr"/>
      <c r="E1992" t="inlineStr">
        <is>
          <t>Proseware Payroll</t>
        </is>
      </c>
      <c r="F1992" t="inlineStr">
        <is>
          <t>Proseware payroll debit 2025-08-31</t>
        </is>
      </c>
      <c r="G1992" t="inlineStr">
        <is>
          <t>1010</t>
        </is>
      </c>
      <c r="H1992" t="inlineStr">
        <is>
          <t>Northgate Checking 7742</t>
        </is>
      </c>
      <c r="I1992" t="inlineStr">
        <is>
          <t>Overhead</t>
        </is>
      </c>
      <c r="K1992">
        <f>23844.48</f>
        <v/>
      </c>
    </row>
    <row r="1993">
      <c r="A1993" t="inlineStr">
        <is>
          <t>Total for T-00357</t>
        </is>
      </c>
      <c r="J1993">
        <f>J1990+J1991</f>
        <v/>
      </c>
      <c r="K1993">
        <f>K1992</f>
        <v/>
      </c>
    </row>
    <row r="1994"/>
    <row r="1995">
      <c r="A1995" t="inlineStr">
        <is>
          <t>T-00359</t>
        </is>
      </c>
    </row>
    <row r="1996">
      <c r="B1996" t="inlineStr">
        <is>
          <t>08/31/2025</t>
        </is>
      </c>
      <c r="C1996" t="inlineStr">
        <is>
          <t>Deposit</t>
        </is>
      </c>
      <c r="D1996" t="inlineStr"/>
      <c r="E1996" t="inlineStr">
        <is>
          <t>Paylane</t>
        </is>
      </c>
      <c r="F1996" t="inlineStr">
        <is>
          <t>Paylane payout 2025-08 #2</t>
        </is>
      </c>
      <c r="G1996" t="inlineStr">
        <is>
          <t>1010</t>
        </is>
      </c>
      <c r="H1996" t="inlineStr">
        <is>
          <t>Northgate Checking 7742</t>
        </is>
      </c>
      <c r="I1996" t="inlineStr">
        <is>
          <t>Product</t>
        </is>
      </c>
      <c r="J1996">
        <f>14804.93</f>
        <v/>
      </c>
    </row>
    <row r="1997">
      <c r="B1997" t="inlineStr">
        <is>
          <t>08/31/2025</t>
        </is>
      </c>
      <c r="C1997" t="inlineStr">
        <is>
          <t>Deposit</t>
        </is>
      </c>
      <c r="D1997" t="inlineStr"/>
      <c r="E1997" t="inlineStr">
        <is>
          <t>Paylane</t>
        </is>
      </c>
      <c r="F1997" t="inlineStr">
        <is>
          <t>Paylane payout 2025-08 #2</t>
        </is>
      </c>
      <c r="G1997" t="inlineStr">
        <is>
          <t>1200</t>
        </is>
      </c>
      <c r="H1997" t="inlineStr">
        <is>
          <t>Paylane Clearing</t>
        </is>
      </c>
      <c r="I1997" t="inlineStr">
        <is>
          <t>Product</t>
        </is>
      </c>
      <c r="K1997">
        <f>14804.93</f>
        <v/>
      </c>
    </row>
    <row r="1998">
      <c r="A1998" t="inlineStr">
        <is>
          <t>Total for T-00359</t>
        </is>
      </c>
      <c r="J1998">
        <f>J1996</f>
        <v/>
      </c>
      <c r="K1998">
        <f>K1997</f>
        <v/>
      </c>
    </row>
    <row r="1999"/>
    <row r="2000">
      <c r="A2000" t="inlineStr">
        <is>
          <t>T-00360</t>
        </is>
      </c>
    </row>
    <row r="2001">
      <c r="B2001" t="inlineStr">
        <is>
          <t>08/31/2025</t>
        </is>
      </c>
      <c r="C2001" t="inlineStr">
        <is>
          <t>Journal Entry</t>
        </is>
      </c>
      <c r="D2001" t="inlineStr">
        <is>
          <t>JE-1033</t>
        </is>
      </c>
      <c r="E2001" t="inlineStr">
        <is>
          <t>Paylane</t>
        </is>
      </c>
      <c r="F2001" t="inlineStr">
        <is>
          <t>Paylane settlement 2025-08</t>
        </is>
      </c>
      <c r="G2001" t="inlineStr">
        <is>
          <t>1200</t>
        </is>
      </c>
      <c r="H2001" t="inlineStr">
        <is>
          <t>Paylane Clearing</t>
        </is>
      </c>
      <c r="I2001" t="inlineStr">
        <is>
          <t>Product</t>
        </is>
      </c>
      <c r="J2001">
        <f>32899.84</f>
        <v/>
      </c>
    </row>
    <row r="2002">
      <c r="B2002" t="inlineStr">
        <is>
          <t>08/31/2025</t>
        </is>
      </c>
      <c r="C2002" t="inlineStr">
        <is>
          <t>Journal Entry</t>
        </is>
      </c>
      <c r="D2002" t="inlineStr">
        <is>
          <t>JE-1033</t>
        </is>
      </c>
      <c r="E2002" t="inlineStr">
        <is>
          <t>Paylane</t>
        </is>
      </c>
      <c r="F2002" t="inlineStr">
        <is>
          <t>Paylane processing fees 2025-08, 61 charges</t>
        </is>
      </c>
      <c r="G2002" t="inlineStr">
        <is>
          <t>6950</t>
        </is>
      </c>
      <c r="H2002" t="inlineStr">
        <is>
          <t>Bank and Processor Fees</t>
        </is>
      </c>
      <c r="I2002" t="inlineStr">
        <is>
          <t>Overhead</t>
        </is>
      </c>
      <c r="J2002">
        <f>1001.44</f>
        <v/>
      </c>
    </row>
    <row r="2003">
      <c r="B2003" t="inlineStr">
        <is>
          <t>08/31/2025</t>
        </is>
      </c>
      <c r="C2003" t="inlineStr">
        <is>
          <t>Journal Entry</t>
        </is>
      </c>
      <c r="D2003" t="inlineStr">
        <is>
          <t>JE-1033</t>
        </is>
      </c>
      <c r="E2003" t="inlineStr">
        <is>
          <t>Paylane</t>
        </is>
      </c>
      <c r="F2003" t="inlineStr">
        <is>
          <t>Paylane product sales 2025-08</t>
        </is>
      </c>
      <c r="G2003" t="inlineStr">
        <is>
          <t>4000</t>
        </is>
      </c>
      <c r="H2003" t="inlineStr">
        <is>
          <t>Product Revenue</t>
        </is>
      </c>
      <c r="I2003" t="inlineStr">
        <is>
          <t>Product</t>
        </is>
      </c>
      <c r="K2003">
        <f>33901.28</f>
        <v/>
      </c>
    </row>
    <row r="2004">
      <c r="A2004" t="inlineStr">
        <is>
          <t>Total for T-00360</t>
        </is>
      </c>
      <c r="J2004">
        <f>J2001+J2002</f>
        <v/>
      </c>
      <c r="K2004">
        <f>K2003</f>
        <v/>
      </c>
    </row>
    <row r="2005"/>
    <row r="2006">
      <c r="A2006" t="inlineStr">
        <is>
          <t>T-00396</t>
        </is>
      </c>
    </row>
    <row r="2007">
      <c r="B2007" t="inlineStr">
        <is>
          <t>08/31/2025</t>
        </is>
      </c>
      <c r="C2007" t="inlineStr">
        <is>
          <t>Expense</t>
        </is>
      </c>
      <c r="D2007" t="inlineStr"/>
      <c r="E2007" t="inlineStr">
        <is>
          <t>Northgate Bank</t>
        </is>
      </c>
      <c r="F2007" t="inlineStr">
        <is>
          <t>Account analysis fee 2025-08</t>
        </is>
      </c>
      <c r="G2007" t="inlineStr">
        <is>
          <t>6950</t>
        </is>
      </c>
      <c r="H2007" t="inlineStr">
        <is>
          <t>Bank and Processor Fees</t>
        </is>
      </c>
      <c r="I2007" t="inlineStr">
        <is>
          <t>Overhead</t>
        </is>
      </c>
      <c r="J2007">
        <f>45.00</f>
        <v/>
      </c>
    </row>
    <row r="2008">
      <c r="B2008" t="inlineStr">
        <is>
          <t>08/31/2025</t>
        </is>
      </c>
      <c r="C2008" t="inlineStr">
        <is>
          <t>Expense</t>
        </is>
      </c>
      <c r="D2008" t="inlineStr"/>
      <c r="E2008" t="inlineStr">
        <is>
          <t>Northgate Bank</t>
        </is>
      </c>
      <c r="F2008" t="inlineStr">
        <is>
          <t>Account analysis fee 2025-08</t>
        </is>
      </c>
      <c r="G2008" t="inlineStr">
        <is>
          <t>1010</t>
        </is>
      </c>
      <c r="H2008" t="inlineStr">
        <is>
          <t>Northgate Checking 7742</t>
        </is>
      </c>
      <c r="I2008" t="inlineStr">
        <is>
          <t>Overhead</t>
        </is>
      </c>
      <c r="K2008">
        <f>45.00</f>
        <v/>
      </c>
    </row>
    <row r="2009">
      <c r="A2009" t="inlineStr">
        <is>
          <t>Total for T-00396</t>
        </is>
      </c>
      <c r="J2009">
        <f>J2007</f>
        <v/>
      </c>
      <c r="K2009">
        <f>K2008</f>
        <v/>
      </c>
    </row>
    <row r="2010"/>
    <row r="2011">
      <c r="A2011" t="inlineStr">
        <is>
          <t>T-00397</t>
        </is>
      </c>
    </row>
    <row r="2012">
      <c r="B2012" t="inlineStr">
        <is>
          <t>08/31/2025</t>
        </is>
      </c>
      <c r="C2012" t="inlineStr">
        <is>
          <t>Deposit</t>
        </is>
      </c>
      <c r="D2012" t="inlineStr"/>
      <c r="E2012" t="inlineStr">
        <is>
          <t>Northgate Bank</t>
        </is>
      </c>
      <c r="F2012" t="inlineStr">
        <is>
          <t>Savings interest 2025-08</t>
        </is>
      </c>
      <c r="G2012" t="inlineStr">
        <is>
          <t>1020</t>
        </is>
      </c>
      <c r="H2012" t="inlineStr">
        <is>
          <t>Northgate Savings 7809</t>
        </is>
      </c>
      <c r="I2012" t="inlineStr">
        <is>
          <t>Overhead</t>
        </is>
      </c>
      <c r="J2012">
        <f>16.02</f>
        <v/>
      </c>
    </row>
    <row r="2013">
      <c r="B2013" t="inlineStr">
        <is>
          <t>08/31/2025</t>
        </is>
      </c>
      <c r="C2013" t="inlineStr">
        <is>
          <t>Deposit</t>
        </is>
      </c>
      <c r="D2013" t="inlineStr"/>
      <c r="E2013" t="inlineStr">
        <is>
          <t>Northgate Bank</t>
        </is>
      </c>
      <c r="F2013" t="inlineStr">
        <is>
          <t>Savings interest 2025-08</t>
        </is>
      </c>
      <c r="G2013" t="inlineStr">
        <is>
          <t>4900</t>
        </is>
      </c>
      <c r="H2013" t="inlineStr">
        <is>
          <t>Interest Income</t>
        </is>
      </c>
      <c r="I2013" t="inlineStr">
        <is>
          <t>Overhead</t>
        </is>
      </c>
      <c r="K2013">
        <f>16.02</f>
        <v/>
      </c>
    </row>
    <row r="2014">
      <c r="A2014" t="inlineStr">
        <is>
          <t>Total for T-00397</t>
        </is>
      </c>
      <c r="J2014">
        <f>J2012</f>
        <v/>
      </c>
      <c r="K2014">
        <f>K2013</f>
        <v/>
      </c>
    </row>
    <row r="2015"/>
    <row r="2016">
      <c r="A2016" t="inlineStr">
        <is>
          <t>T-00398</t>
        </is>
      </c>
    </row>
    <row r="2017">
      <c r="B2017" t="inlineStr">
        <is>
          <t>08/31/2025</t>
        </is>
      </c>
      <c r="C2017" t="inlineStr">
        <is>
          <t>Journal Entry</t>
        </is>
      </c>
      <c r="D2017" t="inlineStr">
        <is>
          <t>JE-1034</t>
        </is>
      </c>
      <c r="E2017" t="inlineStr">
        <is>
          <t>Tailspin Tools</t>
        </is>
      </c>
      <c r="F2017" t="inlineStr">
        <is>
          <t>Software 2025-08</t>
        </is>
      </c>
      <c r="G2017" t="inlineStr">
        <is>
          <t>6200</t>
        </is>
      </c>
      <c r="H2017" t="inlineStr">
        <is>
          <t>Software Subscriptions</t>
        </is>
      </c>
      <c r="I2017" t="inlineStr">
        <is>
          <t>Overhead</t>
        </is>
      </c>
      <c r="J2017">
        <f>800.00</f>
        <v/>
      </c>
    </row>
    <row r="2018">
      <c r="B2018" t="inlineStr">
        <is>
          <t>08/31/2025</t>
        </is>
      </c>
      <c r="C2018" t="inlineStr">
        <is>
          <t>Journal Entry</t>
        </is>
      </c>
      <c r="D2018" t="inlineStr">
        <is>
          <t>JE-1034</t>
        </is>
      </c>
      <c r="E2018" t="inlineStr">
        <is>
          <t>Tailspin Tools</t>
        </is>
      </c>
      <c r="F2018" t="inlineStr">
        <is>
          <t>Software 2025-08</t>
        </is>
      </c>
      <c r="G2018" t="inlineStr">
        <is>
          <t>1310</t>
        </is>
      </c>
      <c r="H2018" t="inlineStr">
        <is>
          <t>Prepaid Software</t>
        </is>
      </c>
      <c r="I2018" t="inlineStr">
        <is>
          <t>Overhead</t>
        </is>
      </c>
      <c r="K2018">
        <f>800.00</f>
        <v/>
      </c>
    </row>
    <row r="2019">
      <c r="A2019" t="inlineStr">
        <is>
          <t>Total for T-00398</t>
        </is>
      </c>
      <c r="J2019">
        <f>J2017</f>
        <v/>
      </c>
      <c r="K2019">
        <f>K2018</f>
        <v/>
      </c>
    </row>
    <row r="2020"/>
    <row r="2021">
      <c r="A2021" t="inlineStr">
        <is>
          <t>T-00399</t>
        </is>
      </c>
    </row>
    <row r="2022">
      <c r="B2022" t="inlineStr">
        <is>
          <t>08/31/2025</t>
        </is>
      </c>
      <c r="C2022" t="inlineStr">
        <is>
          <t>Journal Entry</t>
        </is>
      </c>
      <c r="D2022" t="inlineStr">
        <is>
          <t>JE-1035</t>
        </is>
      </c>
      <c r="E2022" t="inlineStr"/>
      <c r="F2022" t="inlineStr">
        <is>
          <t>Depreciation 2025-08</t>
        </is>
      </c>
      <c r="G2022" t="inlineStr">
        <is>
          <t>7000</t>
        </is>
      </c>
      <c r="H2022" t="inlineStr">
        <is>
          <t>Depreciation Expense</t>
        </is>
      </c>
      <c r="I2022" t="inlineStr">
        <is>
          <t>Product</t>
        </is>
      </c>
      <c r="J2022">
        <f>800.00</f>
        <v/>
      </c>
    </row>
    <row r="2023">
      <c r="B2023" t="inlineStr">
        <is>
          <t>08/31/2025</t>
        </is>
      </c>
      <c r="C2023" t="inlineStr">
        <is>
          <t>Journal Entry</t>
        </is>
      </c>
      <c r="D2023" t="inlineStr">
        <is>
          <t>JE-1035</t>
        </is>
      </c>
      <c r="E2023" t="inlineStr"/>
      <c r="F2023" t="inlineStr">
        <is>
          <t>Depreciation 2025-08</t>
        </is>
      </c>
      <c r="G2023" t="inlineStr">
        <is>
          <t>1510</t>
        </is>
      </c>
      <c r="H2023" t="inlineStr">
        <is>
          <t>Accumulated Depreciation</t>
        </is>
      </c>
      <c r="I2023" t="inlineStr">
        <is>
          <t>Product</t>
        </is>
      </c>
      <c r="K2023">
        <f>800.00</f>
        <v/>
      </c>
    </row>
    <row r="2024">
      <c r="A2024" t="inlineStr">
        <is>
          <t>Total for T-00399</t>
        </is>
      </c>
      <c r="J2024">
        <f>J2022</f>
        <v/>
      </c>
      <c r="K2024">
        <f>K2023</f>
        <v/>
      </c>
    </row>
    <row r="2025"/>
    <row r="2026">
      <c r="A2026" t="inlineStr">
        <is>
          <t>T-00400</t>
        </is>
      </c>
    </row>
    <row r="2027">
      <c r="B2027" t="inlineStr">
        <is>
          <t>09/01/2025</t>
        </is>
      </c>
      <c r="C2027" t="inlineStr">
        <is>
          <t>Expense</t>
        </is>
      </c>
      <c r="D2027" t="inlineStr"/>
      <c r="E2027" t="inlineStr">
        <is>
          <t>Wingtip Workspace</t>
        </is>
      </c>
      <c r="F2027" t="inlineStr">
        <is>
          <t>Office rent 2025-09</t>
        </is>
      </c>
      <c r="G2027" t="inlineStr">
        <is>
          <t>6400</t>
        </is>
      </c>
      <c r="H2027" t="inlineStr">
        <is>
          <t>Rent</t>
        </is>
      </c>
      <c r="I2027" t="inlineStr">
        <is>
          <t>Overhead</t>
        </is>
      </c>
      <c r="J2027">
        <f>6500.00</f>
        <v/>
      </c>
    </row>
    <row r="2028">
      <c r="B2028" t="inlineStr">
        <is>
          <t>09/01/2025</t>
        </is>
      </c>
      <c r="C2028" t="inlineStr">
        <is>
          <t>Expense</t>
        </is>
      </c>
      <c r="D2028" t="inlineStr"/>
      <c r="E2028" t="inlineStr">
        <is>
          <t>Wingtip Workspace</t>
        </is>
      </c>
      <c r="F2028" t="inlineStr">
        <is>
          <t>Office rent 2025-09</t>
        </is>
      </c>
      <c r="G2028" t="inlineStr">
        <is>
          <t>1010</t>
        </is>
      </c>
      <c r="H2028" t="inlineStr">
        <is>
          <t>Northgate Checking 7742</t>
        </is>
      </c>
      <c r="I2028" t="inlineStr">
        <is>
          <t>Overhead</t>
        </is>
      </c>
      <c r="K2028">
        <f>6500.00</f>
        <v/>
      </c>
    </row>
    <row r="2029">
      <c r="A2029" t="inlineStr">
        <is>
          <t>Total for T-00400</t>
        </is>
      </c>
      <c r="J2029">
        <f>J2027</f>
        <v/>
      </c>
      <c r="K2029">
        <f>K2028</f>
        <v/>
      </c>
    </row>
    <row r="2030"/>
    <row r="2031">
      <c r="A2031" t="inlineStr">
        <is>
          <t>T-00420</t>
        </is>
      </c>
    </row>
    <row r="2032">
      <c r="B2032" t="inlineStr">
        <is>
          <t>09/02/2025</t>
        </is>
      </c>
      <c r="C2032" t="inlineStr">
        <is>
          <t>Expense</t>
        </is>
      </c>
      <c r="D2032" t="inlineStr"/>
      <c r="E2032" t="inlineStr">
        <is>
          <t>Northwind Supply</t>
        </is>
      </c>
      <c r="F2032" t="inlineStr">
        <is>
          <t>Northwind Supply invoice 45032</t>
        </is>
      </c>
      <c r="G2032" t="inlineStr">
        <is>
          <t>5000</t>
        </is>
      </c>
      <c r="H2032" t="inlineStr">
        <is>
          <t>Cost of Goods Sold - Components</t>
        </is>
      </c>
      <c r="I2032" t="inlineStr">
        <is>
          <t>Product</t>
        </is>
      </c>
      <c r="J2032">
        <f>817.43</f>
        <v/>
      </c>
    </row>
    <row r="2033">
      <c r="B2033" t="inlineStr">
        <is>
          <t>09/02/2025</t>
        </is>
      </c>
      <c r="C2033" t="inlineStr">
        <is>
          <t>Expense</t>
        </is>
      </c>
      <c r="D2033" t="inlineStr"/>
      <c r="E2033" t="inlineStr">
        <is>
          <t>Northwind Supply</t>
        </is>
      </c>
      <c r="F2033" t="inlineStr">
        <is>
          <t>Northwind Supply invoice 45032</t>
        </is>
      </c>
      <c r="G2033" t="inlineStr">
        <is>
          <t>1010</t>
        </is>
      </c>
      <c r="H2033" t="inlineStr">
        <is>
          <t>Northgate Checking 7742</t>
        </is>
      </c>
      <c r="I2033" t="inlineStr">
        <is>
          <t>Product</t>
        </is>
      </c>
      <c r="K2033">
        <f>817.43</f>
        <v/>
      </c>
    </row>
    <row r="2034">
      <c r="A2034" t="inlineStr">
        <is>
          <t>Total for T-00420</t>
        </is>
      </c>
      <c r="J2034">
        <f>J2032</f>
        <v/>
      </c>
      <c r="K2034">
        <f>K2033</f>
        <v/>
      </c>
    </row>
    <row r="2035"/>
    <row r="2036">
      <c r="A2036" t="inlineStr">
        <is>
          <t>T-00441</t>
        </is>
      </c>
    </row>
    <row r="2037">
      <c r="B2037" t="inlineStr">
        <is>
          <t>09/02/2025</t>
        </is>
      </c>
      <c r="C2037" t="inlineStr">
        <is>
          <t>Expense</t>
        </is>
      </c>
      <c r="D2037" t="inlineStr"/>
      <c r="E2037" t="inlineStr">
        <is>
          <t>Litware Legal</t>
        </is>
      </c>
      <c r="F2037" t="inlineStr">
        <is>
          <t>Litware Legal invoice 13708</t>
        </is>
      </c>
      <c r="G2037" t="inlineStr">
        <is>
          <t>6800</t>
        </is>
      </c>
      <c r="H2037" t="inlineStr">
        <is>
          <t>Professional Fees</t>
        </is>
      </c>
      <c r="I2037" t="inlineStr">
        <is>
          <t>Overhead</t>
        </is>
      </c>
      <c r="J2037">
        <f>1701.17</f>
        <v/>
      </c>
    </row>
    <row r="2038">
      <c r="B2038" t="inlineStr">
        <is>
          <t>09/02/2025</t>
        </is>
      </c>
      <c r="C2038" t="inlineStr">
        <is>
          <t>Expense</t>
        </is>
      </c>
      <c r="D2038" t="inlineStr"/>
      <c r="E2038" t="inlineStr">
        <is>
          <t>Litware Legal</t>
        </is>
      </c>
      <c r="F2038" t="inlineStr">
        <is>
          <t>Litware Legal invoice 13708</t>
        </is>
      </c>
      <c r="G2038" t="inlineStr">
        <is>
          <t>1010</t>
        </is>
      </c>
      <c r="H2038" t="inlineStr">
        <is>
          <t>Northgate Checking 7742</t>
        </is>
      </c>
      <c r="I2038" t="inlineStr">
        <is>
          <t>Overhead</t>
        </is>
      </c>
      <c r="K2038">
        <f>1701.17</f>
        <v/>
      </c>
    </row>
    <row r="2039">
      <c r="A2039" t="inlineStr">
        <is>
          <t>Total for T-00441</t>
        </is>
      </c>
      <c r="J2039">
        <f>J2037</f>
        <v/>
      </c>
      <c r="K2039">
        <f>K2038</f>
        <v/>
      </c>
    </row>
    <row r="2040"/>
    <row r="2041">
      <c r="A2041" t="inlineStr">
        <is>
          <t>T-00446</t>
        </is>
      </c>
    </row>
    <row r="2042">
      <c r="B2042" t="inlineStr">
        <is>
          <t>09/03/2025</t>
        </is>
      </c>
      <c r="C2042" t="inlineStr">
        <is>
          <t>Expense</t>
        </is>
      </c>
      <c r="D2042" t="inlineStr"/>
      <c r="E2042" t="inlineStr">
        <is>
          <t>Fabrikam Freight</t>
        </is>
      </c>
      <c r="F2042" t="inlineStr">
        <is>
          <t>Fabrikam Freight invoice 75001</t>
        </is>
      </c>
      <c r="G2042" t="inlineStr">
        <is>
          <t>5100</t>
        </is>
      </c>
      <c r="H2042" t="inlineStr">
        <is>
          <t>Shipping and Freight</t>
        </is>
      </c>
      <c r="I2042" t="inlineStr">
        <is>
          <t>Product</t>
        </is>
      </c>
      <c r="J2042">
        <f>446.99</f>
        <v/>
      </c>
    </row>
    <row r="2043">
      <c r="B2043" t="inlineStr">
        <is>
          <t>09/03/2025</t>
        </is>
      </c>
      <c r="C2043" t="inlineStr">
        <is>
          <t>Expense</t>
        </is>
      </c>
      <c r="D2043" t="inlineStr"/>
      <c r="E2043" t="inlineStr">
        <is>
          <t>Fabrikam Freight</t>
        </is>
      </c>
      <c r="F2043" t="inlineStr">
        <is>
          <t>Fabrikam Freight invoice 75001</t>
        </is>
      </c>
      <c r="G2043" t="inlineStr">
        <is>
          <t>1010</t>
        </is>
      </c>
      <c r="H2043" t="inlineStr">
        <is>
          <t>Northgate Checking 7742</t>
        </is>
      </c>
      <c r="I2043" t="inlineStr">
        <is>
          <t>Product</t>
        </is>
      </c>
      <c r="K2043">
        <f>446.99</f>
        <v/>
      </c>
    </row>
    <row r="2044">
      <c r="A2044" t="inlineStr">
        <is>
          <t>Total for T-00446</t>
        </is>
      </c>
      <c r="J2044">
        <f>J2042</f>
        <v/>
      </c>
      <c r="K2044">
        <f>K2043</f>
        <v/>
      </c>
    </row>
    <row r="2045"/>
    <row r="2046">
      <c r="A2046" t="inlineStr">
        <is>
          <t>T-00416</t>
        </is>
      </c>
    </row>
    <row r="2047">
      <c r="B2047" t="inlineStr">
        <is>
          <t>09/04/2025</t>
        </is>
      </c>
      <c r="C2047" t="inlineStr">
        <is>
          <t>Expense</t>
        </is>
      </c>
      <c r="D2047" t="inlineStr"/>
      <c r="E2047" t="inlineStr">
        <is>
          <t>Bluepeak Engineering</t>
        </is>
      </c>
      <c r="F2047" t="inlineStr">
        <is>
          <t>Bluepeak Engineering invoice 23780</t>
        </is>
      </c>
      <c r="G2047" t="inlineStr">
        <is>
          <t>6100</t>
        </is>
      </c>
      <c r="H2047" t="inlineStr">
        <is>
          <t>Contract Engineering</t>
        </is>
      </c>
      <c r="I2047" t="inlineStr">
        <is>
          <t>Product</t>
        </is>
      </c>
      <c r="J2047">
        <f>1717.52</f>
        <v/>
      </c>
    </row>
    <row r="2048">
      <c r="B2048" t="inlineStr">
        <is>
          <t>09/04/2025</t>
        </is>
      </c>
      <c r="C2048" t="inlineStr">
        <is>
          <t>Expense</t>
        </is>
      </c>
      <c r="D2048" t="inlineStr"/>
      <c r="E2048" t="inlineStr">
        <is>
          <t>Bluepeak Engineering</t>
        </is>
      </c>
      <c r="F2048" t="inlineStr">
        <is>
          <t>Bluepeak Engineering invoice 23780</t>
        </is>
      </c>
      <c r="G2048" t="inlineStr">
        <is>
          <t>1010</t>
        </is>
      </c>
      <c r="H2048" t="inlineStr">
        <is>
          <t>Northgate Checking 7742</t>
        </is>
      </c>
      <c r="I2048" t="inlineStr">
        <is>
          <t>Product</t>
        </is>
      </c>
      <c r="K2048">
        <f>1717.52</f>
        <v/>
      </c>
    </row>
    <row r="2049">
      <c r="A2049" t="inlineStr">
        <is>
          <t>Total for T-00416</t>
        </is>
      </c>
      <c r="J2049">
        <f>J2047</f>
        <v/>
      </c>
      <c r="K2049">
        <f>K2048</f>
        <v/>
      </c>
    </row>
    <row r="2050"/>
    <row r="2051">
      <c r="A2051" t="inlineStr">
        <is>
          <t>T-00401</t>
        </is>
      </c>
    </row>
    <row r="2052">
      <c r="B2052" t="inlineStr">
        <is>
          <t>09/05/2025</t>
        </is>
      </c>
      <c r="C2052" t="inlineStr">
        <is>
          <t>Expense</t>
        </is>
      </c>
      <c r="D2052" t="inlineStr"/>
      <c r="E2052" t="inlineStr">
        <is>
          <t>Vantage Card</t>
        </is>
      </c>
      <c r="F2052" t="inlineStr">
        <is>
          <t>Vantage card payment</t>
        </is>
      </c>
      <c r="G2052" t="inlineStr">
        <is>
          <t>2100</t>
        </is>
      </c>
      <c r="H2052" t="inlineStr">
        <is>
          <t>Vantage Card 3391</t>
        </is>
      </c>
      <c r="I2052" t="inlineStr">
        <is>
          <t>Overhead</t>
        </is>
      </c>
      <c r="J2052">
        <f>8983.02</f>
        <v/>
      </c>
    </row>
    <row r="2053">
      <c r="B2053" t="inlineStr">
        <is>
          <t>09/05/2025</t>
        </is>
      </c>
      <c r="C2053" t="inlineStr">
        <is>
          <t>Expense</t>
        </is>
      </c>
      <c r="D2053" t="inlineStr"/>
      <c r="E2053" t="inlineStr">
        <is>
          <t>Vantage Card</t>
        </is>
      </c>
      <c r="F2053" t="inlineStr">
        <is>
          <t>Vantage card payment</t>
        </is>
      </c>
      <c r="G2053" t="inlineStr">
        <is>
          <t>1010</t>
        </is>
      </c>
      <c r="H2053" t="inlineStr">
        <is>
          <t>Northgate Checking 7742</t>
        </is>
      </c>
      <c r="I2053" t="inlineStr">
        <is>
          <t>Overhead</t>
        </is>
      </c>
      <c r="K2053">
        <f>8983.02</f>
        <v/>
      </c>
    </row>
    <row r="2054">
      <c r="A2054" t="inlineStr">
        <is>
          <t>Total for T-00401</t>
        </is>
      </c>
      <c r="J2054">
        <f>J2052</f>
        <v/>
      </c>
      <c r="K2054">
        <f>K2053</f>
        <v/>
      </c>
    </row>
    <row r="2055"/>
    <row r="2056">
      <c r="A2056" t="inlineStr">
        <is>
          <t>T-00402</t>
        </is>
      </c>
    </row>
    <row r="2057">
      <c r="B2057" t="inlineStr">
        <is>
          <t>09/05/2025</t>
        </is>
      </c>
      <c r="C2057" t="inlineStr">
        <is>
          <t>Transfer</t>
        </is>
      </c>
      <c r="D2057" t="inlineStr"/>
      <c r="E2057" t="inlineStr"/>
      <c r="F2057" t="inlineStr">
        <is>
          <t>Transfer to savings</t>
        </is>
      </c>
      <c r="G2057" t="inlineStr">
        <is>
          <t>1020</t>
        </is>
      </c>
      <c r="H2057" t="inlineStr">
        <is>
          <t>Northgate Savings 7809</t>
        </is>
      </c>
      <c r="I2057" t="inlineStr">
        <is>
          <t>Overhead</t>
        </is>
      </c>
      <c r="J2057">
        <f>5000.00</f>
        <v/>
      </c>
    </row>
    <row r="2058">
      <c r="B2058" t="inlineStr">
        <is>
          <t>09/05/2025</t>
        </is>
      </c>
      <c r="C2058" t="inlineStr">
        <is>
          <t>Transfer</t>
        </is>
      </c>
      <c r="D2058" t="inlineStr"/>
      <c r="E2058" t="inlineStr"/>
      <c r="F2058" t="inlineStr">
        <is>
          <t>Transfer to savings</t>
        </is>
      </c>
      <c r="G2058" t="inlineStr">
        <is>
          <t>1010</t>
        </is>
      </c>
      <c r="H2058" t="inlineStr">
        <is>
          <t>Northgate Checking 7742</t>
        </is>
      </c>
      <c r="I2058" t="inlineStr">
        <is>
          <t>Overhead</t>
        </is>
      </c>
      <c r="K2058">
        <f>5000.00</f>
        <v/>
      </c>
    </row>
    <row r="2059">
      <c r="A2059" t="inlineStr">
        <is>
          <t>Total for T-00402</t>
        </is>
      </c>
      <c r="J2059">
        <f>J2057</f>
        <v/>
      </c>
      <c r="K2059">
        <f>K2058</f>
        <v/>
      </c>
    </row>
    <row r="2060"/>
    <row r="2061">
      <c r="A2061" t="inlineStr">
        <is>
          <t>T-00431</t>
        </is>
      </c>
    </row>
    <row r="2062">
      <c r="B2062" t="inlineStr">
        <is>
          <t>09/06/2025</t>
        </is>
      </c>
      <c r="C2062" t="inlineStr">
        <is>
          <t>Expense</t>
        </is>
      </c>
      <c r="D2062" t="inlineStr"/>
      <c r="E2062" t="inlineStr">
        <is>
          <t>Quartz CAD Services</t>
        </is>
      </c>
      <c r="F2062" t="inlineStr">
        <is>
          <t>Quartz CAD Services invoice 88662</t>
        </is>
      </c>
      <c r="G2062" t="inlineStr">
        <is>
          <t>6100</t>
        </is>
      </c>
      <c r="H2062" t="inlineStr">
        <is>
          <t>Contract Engineering</t>
        </is>
      </c>
      <c r="I2062" t="inlineStr">
        <is>
          <t>Product</t>
        </is>
      </c>
      <c r="J2062">
        <f>501.80</f>
        <v/>
      </c>
    </row>
    <row r="2063">
      <c r="B2063" t="inlineStr">
        <is>
          <t>09/06/2025</t>
        </is>
      </c>
      <c r="C2063" t="inlineStr">
        <is>
          <t>Expense</t>
        </is>
      </c>
      <c r="D2063" t="inlineStr"/>
      <c r="E2063" t="inlineStr">
        <is>
          <t>Quartz CAD Services</t>
        </is>
      </c>
      <c r="F2063" t="inlineStr">
        <is>
          <t>Quartz CAD Services invoice 88662</t>
        </is>
      </c>
      <c r="G2063" t="inlineStr">
        <is>
          <t>1010</t>
        </is>
      </c>
      <c r="H2063" t="inlineStr">
        <is>
          <t>Northgate Checking 7742</t>
        </is>
      </c>
      <c r="I2063" t="inlineStr">
        <is>
          <t>Product</t>
        </is>
      </c>
      <c r="K2063">
        <f>501.80</f>
        <v/>
      </c>
    </row>
    <row r="2064">
      <c r="A2064" t="inlineStr">
        <is>
          <t>Total for T-00431</t>
        </is>
      </c>
      <c r="J2064">
        <f>J2062</f>
        <v/>
      </c>
      <c r="K2064">
        <f>K2063</f>
        <v/>
      </c>
    </row>
    <row r="2065"/>
    <row r="2066">
      <c r="A2066" t="inlineStr">
        <is>
          <t>T-00448</t>
        </is>
      </c>
    </row>
    <row r="2067">
      <c r="B2067" t="inlineStr">
        <is>
          <t>09/06/2025</t>
        </is>
      </c>
      <c r="C2067" t="inlineStr">
        <is>
          <t>Expense</t>
        </is>
      </c>
      <c r="D2067" t="inlineStr"/>
      <c r="E2067" t="inlineStr">
        <is>
          <t>Quartz CAD Services</t>
        </is>
      </c>
      <c r="F2067" t="inlineStr">
        <is>
          <t>Quartz CAD Services invoice 44295</t>
        </is>
      </c>
      <c r="G2067" t="inlineStr">
        <is>
          <t>6100</t>
        </is>
      </c>
      <c r="H2067" t="inlineStr">
        <is>
          <t>Contract Engineering</t>
        </is>
      </c>
      <c r="I2067" t="inlineStr">
        <is>
          <t>Product</t>
        </is>
      </c>
      <c r="J2067">
        <f>405.60</f>
        <v/>
      </c>
    </row>
    <row r="2068">
      <c r="B2068" t="inlineStr">
        <is>
          <t>09/06/2025</t>
        </is>
      </c>
      <c r="C2068" t="inlineStr">
        <is>
          <t>Expense</t>
        </is>
      </c>
      <c r="D2068" t="inlineStr"/>
      <c r="E2068" t="inlineStr">
        <is>
          <t>Quartz CAD Services</t>
        </is>
      </c>
      <c r="F2068" t="inlineStr">
        <is>
          <t>Quartz CAD Services invoice 44295</t>
        </is>
      </c>
      <c r="G2068" t="inlineStr">
        <is>
          <t>1010</t>
        </is>
      </c>
      <c r="H2068" t="inlineStr">
        <is>
          <t>Northgate Checking 7742</t>
        </is>
      </c>
      <c r="I2068" t="inlineStr">
        <is>
          <t>Product</t>
        </is>
      </c>
      <c r="K2068">
        <f>405.60</f>
        <v/>
      </c>
    </row>
    <row r="2069">
      <c r="A2069" t="inlineStr">
        <is>
          <t>Total for T-00448</t>
        </is>
      </c>
      <c r="J2069">
        <f>J2067</f>
        <v/>
      </c>
      <c r="K2069">
        <f>K2068</f>
        <v/>
      </c>
    </row>
    <row r="2070"/>
    <row r="2071">
      <c r="A2071" t="inlineStr">
        <is>
          <t>T-00414</t>
        </is>
      </c>
    </row>
    <row r="2072">
      <c r="B2072" t="inlineStr">
        <is>
          <t>09/07/2025</t>
        </is>
      </c>
      <c r="C2072" t="inlineStr">
        <is>
          <t>Expense</t>
        </is>
      </c>
      <c r="D2072" t="inlineStr"/>
      <c r="E2072" t="inlineStr">
        <is>
          <t>Litware Legal</t>
        </is>
      </c>
      <c r="F2072" t="inlineStr">
        <is>
          <t>Litware Legal invoice 20791</t>
        </is>
      </c>
      <c r="G2072" t="inlineStr">
        <is>
          <t>6800</t>
        </is>
      </c>
      <c r="H2072" t="inlineStr">
        <is>
          <t>Professional Fees</t>
        </is>
      </c>
      <c r="I2072" t="inlineStr">
        <is>
          <t>Overhead</t>
        </is>
      </c>
      <c r="J2072">
        <f>974.73</f>
        <v/>
      </c>
    </row>
    <row r="2073">
      <c r="B2073" t="inlineStr">
        <is>
          <t>09/07/2025</t>
        </is>
      </c>
      <c r="C2073" t="inlineStr">
        <is>
          <t>Expense</t>
        </is>
      </c>
      <c r="D2073" t="inlineStr"/>
      <c r="E2073" t="inlineStr">
        <is>
          <t>Litware Legal</t>
        </is>
      </c>
      <c r="F2073" t="inlineStr">
        <is>
          <t>Litware Legal invoice 20791</t>
        </is>
      </c>
      <c r="G2073" t="inlineStr">
        <is>
          <t>1010</t>
        </is>
      </c>
      <c r="H2073" t="inlineStr">
        <is>
          <t>Northgate Checking 7742</t>
        </is>
      </c>
      <c r="I2073" t="inlineStr">
        <is>
          <t>Overhead</t>
        </is>
      </c>
      <c r="K2073">
        <f>974.73</f>
        <v/>
      </c>
    </row>
    <row r="2074">
      <c r="A2074" t="inlineStr">
        <is>
          <t>Total for T-00414</t>
        </is>
      </c>
      <c r="J2074">
        <f>J2072</f>
        <v/>
      </c>
      <c r="K2074">
        <f>K2073</f>
        <v/>
      </c>
    </row>
    <row r="2075"/>
    <row r="2076">
      <c r="A2076" t="inlineStr">
        <is>
          <t>T-00436</t>
        </is>
      </c>
    </row>
    <row r="2077">
      <c r="B2077" t="inlineStr">
        <is>
          <t>09/07/2025</t>
        </is>
      </c>
      <c r="C2077" t="inlineStr">
        <is>
          <t>Expense</t>
        </is>
      </c>
      <c r="D2077" t="inlineStr"/>
      <c r="E2077" t="inlineStr">
        <is>
          <t>Northwind Supply</t>
        </is>
      </c>
      <c r="F2077" t="inlineStr">
        <is>
          <t>Northwind Supply invoice 31230</t>
        </is>
      </c>
      <c r="G2077" t="inlineStr">
        <is>
          <t>5000</t>
        </is>
      </c>
      <c r="H2077" t="inlineStr">
        <is>
          <t>Cost of Goods Sold - Components</t>
        </is>
      </c>
      <c r="I2077" t="inlineStr">
        <is>
          <t>Product</t>
        </is>
      </c>
      <c r="J2077">
        <f>175.76</f>
        <v/>
      </c>
    </row>
    <row r="2078">
      <c r="B2078" t="inlineStr">
        <is>
          <t>09/07/2025</t>
        </is>
      </c>
      <c r="C2078" t="inlineStr">
        <is>
          <t>Expense</t>
        </is>
      </c>
      <c r="D2078" t="inlineStr"/>
      <c r="E2078" t="inlineStr">
        <is>
          <t>Northwind Supply</t>
        </is>
      </c>
      <c r="F2078" t="inlineStr">
        <is>
          <t>Northwind Supply invoice 31230</t>
        </is>
      </c>
      <c r="G2078" t="inlineStr">
        <is>
          <t>1010</t>
        </is>
      </c>
      <c r="H2078" t="inlineStr">
        <is>
          <t>Northgate Checking 7742</t>
        </is>
      </c>
      <c r="I2078" t="inlineStr">
        <is>
          <t>Product</t>
        </is>
      </c>
      <c r="K2078">
        <f>175.76</f>
        <v/>
      </c>
    </row>
    <row r="2079">
      <c r="A2079" t="inlineStr">
        <is>
          <t>Total for T-00436</t>
        </is>
      </c>
      <c r="J2079">
        <f>J2077</f>
        <v/>
      </c>
      <c r="K2079">
        <f>K2078</f>
        <v/>
      </c>
    </row>
    <row r="2080"/>
    <row r="2081">
      <c r="A2081" t="inlineStr">
        <is>
          <t>T-00437</t>
        </is>
      </c>
    </row>
    <row r="2082">
      <c r="B2082" t="inlineStr">
        <is>
          <t>09/07/2025</t>
        </is>
      </c>
      <c r="C2082" t="inlineStr">
        <is>
          <t>Expense</t>
        </is>
      </c>
      <c r="D2082" t="inlineStr"/>
      <c r="E2082" t="inlineStr">
        <is>
          <t>Redwood Prototyping</t>
        </is>
      </c>
      <c r="F2082" t="inlineStr">
        <is>
          <t>Redwood Prototyping invoice 18714</t>
        </is>
      </c>
      <c r="G2082" t="inlineStr">
        <is>
          <t>6100</t>
        </is>
      </c>
      <c r="H2082" t="inlineStr">
        <is>
          <t>Contract Engineering</t>
        </is>
      </c>
      <c r="I2082" t="inlineStr">
        <is>
          <t>Product</t>
        </is>
      </c>
      <c r="J2082">
        <f>970.97</f>
        <v/>
      </c>
    </row>
    <row r="2083">
      <c r="B2083" t="inlineStr">
        <is>
          <t>09/07/2025</t>
        </is>
      </c>
      <c r="C2083" t="inlineStr">
        <is>
          <t>Expense</t>
        </is>
      </c>
      <c r="D2083" t="inlineStr"/>
      <c r="E2083" t="inlineStr">
        <is>
          <t>Redwood Prototyping</t>
        </is>
      </c>
      <c r="F2083" t="inlineStr">
        <is>
          <t>Redwood Prototyping invoice 18714</t>
        </is>
      </c>
      <c r="G2083" t="inlineStr">
        <is>
          <t>1010</t>
        </is>
      </c>
      <c r="H2083" t="inlineStr">
        <is>
          <t>Northgate Checking 7742</t>
        </is>
      </c>
      <c r="I2083" t="inlineStr">
        <is>
          <t>Product</t>
        </is>
      </c>
      <c r="K2083">
        <f>970.97</f>
        <v/>
      </c>
    </row>
    <row r="2084">
      <c r="A2084" t="inlineStr">
        <is>
          <t>Total for T-00437</t>
        </is>
      </c>
      <c r="J2084">
        <f>J2082</f>
        <v/>
      </c>
      <c r="K2084">
        <f>K2083</f>
        <v/>
      </c>
    </row>
    <row r="2085"/>
    <row r="2086">
      <c r="A2086" t="inlineStr">
        <is>
          <t>T-00418</t>
        </is>
      </c>
    </row>
    <row r="2087">
      <c r="B2087" t="inlineStr">
        <is>
          <t>09/08/2025</t>
        </is>
      </c>
      <c r="C2087" t="inlineStr">
        <is>
          <t>Expense</t>
        </is>
      </c>
      <c r="D2087" t="inlineStr"/>
      <c r="E2087" t="inlineStr">
        <is>
          <t>Redwood Prototyping</t>
        </is>
      </c>
      <c r="F2087" t="inlineStr">
        <is>
          <t>Redwood Prototyping invoice 21978</t>
        </is>
      </c>
      <c r="G2087" t="inlineStr">
        <is>
          <t>6100</t>
        </is>
      </c>
      <c r="H2087" t="inlineStr">
        <is>
          <t>Contract Engineering</t>
        </is>
      </c>
      <c r="I2087" t="inlineStr">
        <is>
          <t>Product</t>
        </is>
      </c>
      <c r="J2087">
        <f>1259.38</f>
        <v/>
      </c>
    </row>
    <row r="2088">
      <c r="B2088" t="inlineStr">
        <is>
          <t>09/08/2025</t>
        </is>
      </c>
      <c r="C2088" t="inlineStr">
        <is>
          <t>Expense</t>
        </is>
      </c>
      <c r="D2088" t="inlineStr"/>
      <c r="E2088" t="inlineStr">
        <is>
          <t>Redwood Prototyping</t>
        </is>
      </c>
      <c r="F2088" t="inlineStr">
        <is>
          <t>Redwood Prototyping invoice 21978</t>
        </is>
      </c>
      <c r="G2088" t="inlineStr">
        <is>
          <t>1010</t>
        </is>
      </c>
      <c r="H2088" t="inlineStr">
        <is>
          <t>Northgate Checking 7742</t>
        </is>
      </c>
      <c r="I2088" t="inlineStr">
        <is>
          <t>Product</t>
        </is>
      </c>
      <c r="K2088">
        <f>1259.38</f>
        <v/>
      </c>
    </row>
    <row r="2089">
      <c r="A2089" t="inlineStr">
        <is>
          <t>Total for T-00418</t>
        </is>
      </c>
      <c r="J2089">
        <f>J2087</f>
        <v/>
      </c>
      <c r="K2089">
        <f>K2088</f>
        <v/>
      </c>
    </row>
    <row r="2090"/>
    <row r="2091">
      <c r="A2091" t="inlineStr">
        <is>
          <t>T-00428</t>
        </is>
      </c>
    </row>
    <row r="2092">
      <c r="B2092" t="inlineStr">
        <is>
          <t>09/09/2025</t>
        </is>
      </c>
      <c r="C2092" t="inlineStr">
        <is>
          <t>Expense</t>
        </is>
      </c>
      <c r="D2092" t="inlineStr"/>
      <c r="E2092" t="inlineStr">
        <is>
          <t>Fabrikam Freight</t>
        </is>
      </c>
      <c r="F2092" t="inlineStr">
        <is>
          <t>Fabrikam Freight invoice 13825</t>
        </is>
      </c>
      <c r="G2092" t="inlineStr">
        <is>
          <t>5100</t>
        </is>
      </c>
      <c r="H2092" t="inlineStr">
        <is>
          <t>Shipping and Freight</t>
        </is>
      </c>
      <c r="I2092" t="inlineStr">
        <is>
          <t>Product</t>
        </is>
      </c>
      <c r="J2092">
        <f>611.40</f>
        <v/>
      </c>
    </row>
    <row r="2093">
      <c r="B2093" t="inlineStr">
        <is>
          <t>09/09/2025</t>
        </is>
      </c>
      <c r="C2093" t="inlineStr">
        <is>
          <t>Expense</t>
        </is>
      </c>
      <c r="D2093" t="inlineStr"/>
      <c r="E2093" t="inlineStr">
        <is>
          <t>Fabrikam Freight</t>
        </is>
      </c>
      <c r="F2093" t="inlineStr">
        <is>
          <t>Fabrikam Freight invoice 13825</t>
        </is>
      </c>
      <c r="G2093" t="inlineStr">
        <is>
          <t>1010</t>
        </is>
      </c>
      <c r="H2093" t="inlineStr">
        <is>
          <t>Northgate Checking 7742</t>
        </is>
      </c>
      <c r="I2093" t="inlineStr">
        <is>
          <t>Product</t>
        </is>
      </c>
      <c r="K2093">
        <f>611.40</f>
        <v/>
      </c>
    </row>
    <row r="2094">
      <c r="A2094" t="inlineStr">
        <is>
          <t>Total for T-00428</t>
        </is>
      </c>
      <c r="J2094">
        <f>J2092</f>
        <v/>
      </c>
      <c r="K2094">
        <f>K2093</f>
        <v/>
      </c>
    </row>
    <row r="2095"/>
    <row r="2096">
      <c r="A2096" t="inlineStr">
        <is>
          <t>T-00430</t>
        </is>
      </c>
    </row>
    <row r="2097">
      <c r="B2097" t="inlineStr">
        <is>
          <t>09/09/2025</t>
        </is>
      </c>
      <c r="C2097" t="inlineStr">
        <is>
          <t>Expense</t>
        </is>
      </c>
      <c r="D2097" t="inlineStr"/>
      <c r="E2097" t="inlineStr">
        <is>
          <t>Fabrikam Freight</t>
        </is>
      </c>
      <c r="F2097" t="inlineStr">
        <is>
          <t>Fabrikam Freight invoice 73321</t>
        </is>
      </c>
      <c r="G2097" t="inlineStr">
        <is>
          <t>5100</t>
        </is>
      </c>
      <c r="H2097" t="inlineStr">
        <is>
          <t>Shipping and Freight</t>
        </is>
      </c>
      <c r="I2097" t="inlineStr">
        <is>
          <t>Product</t>
        </is>
      </c>
      <c r="J2097">
        <f>499.17</f>
        <v/>
      </c>
    </row>
    <row r="2098">
      <c r="B2098" t="inlineStr">
        <is>
          <t>09/09/2025</t>
        </is>
      </c>
      <c r="C2098" t="inlineStr">
        <is>
          <t>Expense</t>
        </is>
      </c>
      <c r="D2098" t="inlineStr"/>
      <c r="E2098" t="inlineStr">
        <is>
          <t>Fabrikam Freight</t>
        </is>
      </c>
      <c r="F2098" t="inlineStr">
        <is>
          <t>Fabrikam Freight invoice 73321</t>
        </is>
      </c>
      <c r="G2098" t="inlineStr">
        <is>
          <t>1010</t>
        </is>
      </c>
      <c r="H2098" t="inlineStr">
        <is>
          <t>Northgate Checking 7742</t>
        </is>
      </c>
      <c r="I2098" t="inlineStr">
        <is>
          <t>Product</t>
        </is>
      </c>
      <c r="K2098">
        <f>499.17</f>
        <v/>
      </c>
    </row>
    <row r="2099">
      <c r="A2099" t="inlineStr">
        <is>
          <t>Total for T-00430</t>
        </is>
      </c>
      <c r="J2099">
        <f>J2097</f>
        <v/>
      </c>
      <c r="K2099">
        <f>K2098</f>
        <v/>
      </c>
    </row>
    <row r="2100"/>
    <row r="2101">
      <c r="A2101" t="inlineStr">
        <is>
          <t>T-00434</t>
        </is>
      </c>
    </row>
    <row r="2102">
      <c r="B2102" t="inlineStr">
        <is>
          <t>09/09/2025</t>
        </is>
      </c>
      <c r="C2102" t="inlineStr">
        <is>
          <t>Expense</t>
        </is>
      </c>
      <c r="D2102" t="inlineStr"/>
      <c r="E2102" t="inlineStr">
        <is>
          <t>Redwood Prototyping</t>
        </is>
      </c>
      <c r="F2102" t="inlineStr">
        <is>
          <t>Redwood Prototyping invoice 24763</t>
        </is>
      </c>
      <c r="G2102" t="inlineStr">
        <is>
          <t>6100</t>
        </is>
      </c>
      <c r="H2102" t="inlineStr">
        <is>
          <t>Contract Engineering</t>
        </is>
      </c>
      <c r="I2102" t="inlineStr">
        <is>
          <t>Product</t>
        </is>
      </c>
      <c r="J2102">
        <f>1350.09</f>
        <v/>
      </c>
    </row>
    <row r="2103">
      <c r="B2103" t="inlineStr">
        <is>
          <t>09/09/2025</t>
        </is>
      </c>
      <c r="C2103" t="inlineStr">
        <is>
          <t>Expense</t>
        </is>
      </c>
      <c r="D2103" t="inlineStr"/>
      <c r="E2103" t="inlineStr">
        <is>
          <t>Redwood Prototyping</t>
        </is>
      </c>
      <c r="F2103" t="inlineStr">
        <is>
          <t>Redwood Prototyping invoice 24763</t>
        </is>
      </c>
      <c r="G2103" t="inlineStr">
        <is>
          <t>1010</t>
        </is>
      </c>
      <c r="H2103" t="inlineStr">
        <is>
          <t>Northgate Checking 7742</t>
        </is>
      </c>
      <c r="I2103" t="inlineStr">
        <is>
          <t>Product</t>
        </is>
      </c>
      <c r="K2103">
        <f>1350.09</f>
        <v/>
      </c>
    </row>
    <row r="2104">
      <c r="A2104" t="inlineStr">
        <is>
          <t>Total for T-00434</t>
        </is>
      </c>
      <c r="J2104">
        <f>J2102</f>
        <v/>
      </c>
      <c r="K2104">
        <f>K2103</f>
        <v/>
      </c>
    </row>
    <row r="2105"/>
    <row r="2106">
      <c r="A2106" t="inlineStr">
        <is>
          <t>T-00403</t>
        </is>
      </c>
    </row>
    <row r="2107">
      <c r="B2107" t="inlineStr">
        <is>
          <t>09/10/2025</t>
        </is>
      </c>
      <c r="C2107" t="inlineStr">
        <is>
          <t>Invoice</t>
        </is>
      </c>
      <c r="D2107" t="inlineStr">
        <is>
          <t>INV-1016</t>
        </is>
      </c>
      <c r="E2107" t="inlineStr">
        <is>
          <t>Volt Dynamics Inc</t>
        </is>
      </c>
      <c r="F2107" t="inlineStr">
        <is>
          <t>INV-1016 robot cell</t>
        </is>
      </c>
      <c r="G2107" t="inlineStr">
        <is>
          <t>1100</t>
        </is>
      </c>
      <c r="H2107" t="inlineStr">
        <is>
          <t>Accounts Receivable</t>
        </is>
      </c>
      <c r="I2107" t="inlineStr">
        <is>
          <t>Product</t>
        </is>
      </c>
      <c r="J2107">
        <f>45946.26</f>
        <v/>
      </c>
    </row>
    <row r="2108">
      <c r="B2108" t="inlineStr">
        <is>
          <t>09/10/2025</t>
        </is>
      </c>
      <c r="C2108" t="inlineStr">
        <is>
          <t>Invoice</t>
        </is>
      </c>
      <c r="D2108" t="inlineStr">
        <is>
          <t>INV-1016</t>
        </is>
      </c>
      <c r="E2108" t="inlineStr">
        <is>
          <t>Volt Dynamics Inc</t>
        </is>
      </c>
      <c r="F2108" t="inlineStr">
        <is>
          <t>INV-1016 robot cell</t>
        </is>
      </c>
      <c r="G2108" t="inlineStr">
        <is>
          <t>4000</t>
        </is>
      </c>
      <c r="H2108" t="inlineStr">
        <is>
          <t>Product Revenue</t>
        </is>
      </c>
      <c r="I2108" t="inlineStr">
        <is>
          <t>Product</t>
        </is>
      </c>
      <c r="K2108">
        <f>45946.26</f>
        <v/>
      </c>
    </row>
    <row r="2109">
      <c r="A2109" t="inlineStr">
        <is>
          <t>Total for T-00403</t>
        </is>
      </c>
      <c r="J2109">
        <f>J2107</f>
        <v/>
      </c>
      <c r="K2109">
        <f>K2108</f>
        <v/>
      </c>
    </row>
    <row r="2110"/>
    <row r="2111">
      <c r="A2111" t="inlineStr">
        <is>
          <t>T-00404</t>
        </is>
      </c>
    </row>
    <row r="2112">
      <c r="B2112" t="inlineStr">
        <is>
          <t>09/10/2025</t>
        </is>
      </c>
      <c r="C2112" t="inlineStr">
        <is>
          <t>Invoice</t>
        </is>
      </c>
      <c r="D2112" t="inlineStr">
        <is>
          <t>INV-1017</t>
        </is>
      </c>
      <c r="E2112" t="inlineStr">
        <is>
          <t>Volt Dynamics Inc</t>
        </is>
      </c>
      <c r="F2112" t="inlineStr">
        <is>
          <t>INV-1017 support plan</t>
        </is>
      </c>
      <c r="G2112" t="inlineStr">
        <is>
          <t>1100</t>
        </is>
      </c>
      <c r="H2112" t="inlineStr">
        <is>
          <t>Accounts Receivable</t>
        </is>
      </c>
      <c r="I2112" t="inlineStr">
        <is>
          <t>Services</t>
        </is>
      </c>
      <c r="J2112">
        <f>8500.00</f>
        <v/>
      </c>
    </row>
    <row r="2113">
      <c r="B2113" t="inlineStr">
        <is>
          <t>09/10/2025</t>
        </is>
      </c>
      <c r="C2113" t="inlineStr">
        <is>
          <t>Invoice</t>
        </is>
      </c>
      <c r="D2113" t="inlineStr">
        <is>
          <t>INV-1017</t>
        </is>
      </c>
      <c r="E2113" t="inlineStr">
        <is>
          <t>Volt Dynamics Inc</t>
        </is>
      </c>
      <c r="F2113" t="inlineStr">
        <is>
          <t>INV-1017 support plan</t>
        </is>
      </c>
      <c r="G2113" t="inlineStr">
        <is>
          <t>4100</t>
        </is>
      </c>
      <c r="H2113" t="inlineStr">
        <is>
          <t>Service Revenue</t>
        </is>
      </c>
      <c r="I2113" t="inlineStr">
        <is>
          <t>Services</t>
        </is>
      </c>
      <c r="K2113">
        <f>8500.00</f>
        <v/>
      </c>
    </row>
    <row r="2114">
      <c r="A2114" t="inlineStr">
        <is>
          <t>Total for T-00404</t>
        </is>
      </c>
      <c r="J2114">
        <f>J2112</f>
        <v/>
      </c>
      <c r="K2114">
        <f>K2113</f>
        <v/>
      </c>
    </row>
    <row r="2115"/>
    <row r="2116">
      <c r="A2116" t="inlineStr">
        <is>
          <t>T-00405</t>
        </is>
      </c>
    </row>
    <row r="2117">
      <c r="B2117" t="inlineStr">
        <is>
          <t>09/10/2025</t>
        </is>
      </c>
      <c r="C2117" t="inlineStr">
        <is>
          <t>Payment</t>
        </is>
      </c>
      <c r="D2117" t="inlineStr"/>
      <c r="E2117" t="inlineStr">
        <is>
          <t>Corvus Labs Inc</t>
        </is>
      </c>
      <c r="F2117" t="inlineStr">
        <is>
          <t>Payment on INV-1014</t>
        </is>
      </c>
      <c r="G2117" t="inlineStr">
        <is>
          <t>1010</t>
        </is>
      </c>
      <c r="H2117" t="inlineStr">
        <is>
          <t>Northgate Checking 7742</t>
        </is>
      </c>
      <c r="I2117" t="inlineStr">
        <is>
          <t>Overhead</t>
        </is>
      </c>
      <c r="J2117">
        <f>43747.27</f>
        <v/>
      </c>
    </row>
    <row r="2118">
      <c r="B2118" t="inlineStr">
        <is>
          <t>09/10/2025</t>
        </is>
      </c>
      <c r="C2118" t="inlineStr">
        <is>
          <t>Payment</t>
        </is>
      </c>
      <c r="D2118" t="inlineStr"/>
      <c r="E2118" t="inlineStr">
        <is>
          <t>Corvus Labs Inc</t>
        </is>
      </c>
      <c r="F2118" t="inlineStr">
        <is>
          <t>Payment on INV-1014</t>
        </is>
      </c>
      <c r="G2118" t="inlineStr">
        <is>
          <t>1100</t>
        </is>
      </c>
      <c r="H2118" t="inlineStr">
        <is>
          <t>Accounts Receivable</t>
        </is>
      </c>
      <c r="I2118" t="inlineStr">
        <is>
          <t>Overhead</t>
        </is>
      </c>
      <c r="K2118">
        <f>43747.27</f>
        <v/>
      </c>
    </row>
    <row r="2119">
      <c r="A2119" t="inlineStr">
        <is>
          <t>Total for T-00405</t>
        </is>
      </c>
      <c r="J2119">
        <f>J2117</f>
        <v/>
      </c>
      <c r="K2119">
        <f>K2118</f>
        <v/>
      </c>
    </row>
    <row r="2120"/>
    <row r="2121">
      <c r="A2121" t="inlineStr">
        <is>
          <t>T-00406</t>
        </is>
      </c>
    </row>
    <row r="2122">
      <c r="B2122" t="inlineStr">
        <is>
          <t>09/10/2025</t>
        </is>
      </c>
      <c r="C2122" t="inlineStr">
        <is>
          <t>Payment</t>
        </is>
      </c>
      <c r="D2122" t="inlineStr"/>
      <c r="E2122" t="inlineStr">
        <is>
          <t>Corvus Labs Inc</t>
        </is>
      </c>
      <c r="F2122" t="inlineStr">
        <is>
          <t>Payment on INV-1015</t>
        </is>
      </c>
      <c r="G2122" t="inlineStr">
        <is>
          <t>1010</t>
        </is>
      </c>
      <c r="H2122" t="inlineStr">
        <is>
          <t>Northgate Checking 7742</t>
        </is>
      </c>
      <c r="I2122" t="inlineStr">
        <is>
          <t>Overhead</t>
        </is>
      </c>
      <c r="J2122">
        <f>8250.00</f>
        <v/>
      </c>
    </row>
    <row r="2123">
      <c r="B2123" t="inlineStr">
        <is>
          <t>09/10/2025</t>
        </is>
      </c>
      <c r="C2123" t="inlineStr">
        <is>
          <t>Payment</t>
        </is>
      </c>
      <c r="D2123" t="inlineStr"/>
      <c r="E2123" t="inlineStr">
        <is>
          <t>Corvus Labs Inc</t>
        </is>
      </c>
      <c r="F2123" t="inlineStr">
        <is>
          <t>Payment on INV-1015</t>
        </is>
      </c>
      <c r="G2123" t="inlineStr">
        <is>
          <t>1100</t>
        </is>
      </c>
      <c r="H2123" t="inlineStr">
        <is>
          <t>Accounts Receivable</t>
        </is>
      </c>
      <c r="I2123" t="inlineStr">
        <is>
          <t>Overhead</t>
        </is>
      </c>
      <c r="K2123">
        <f>8250.00</f>
        <v/>
      </c>
    </row>
    <row r="2124">
      <c r="A2124" t="inlineStr">
        <is>
          <t>Total for T-00406</t>
        </is>
      </c>
      <c r="J2124">
        <f>J2122</f>
        <v/>
      </c>
      <c r="K2124">
        <f>K2123</f>
        <v/>
      </c>
    </row>
    <row r="2125"/>
    <row r="2126">
      <c r="A2126" t="inlineStr">
        <is>
          <t>T-00423</t>
        </is>
      </c>
    </row>
    <row r="2127">
      <c r="B2127" t="inlineStr">
        <is>
          <t>09/10/2025</t>
        </is>
      </c>
      <c r="C2127" t="inlineStr">
        <is>
          <t>Expense</t>
        </is>
      </c>
      <c r="D2127" t="inlineStr"/>
      <c r="E2127" t="inlineStr">
        <is>
          <t>Northwind Supply</t>
        </is>
      </c>
      <c r="F2127" t="inlineStr">
        <is>
          <t>Northwind Supply invoice 33005</t>
        </is>
      </c>
      <c r="G2127" t="inlineStr">
        <is>
          <t>5000</t>
        </is>
      </c>
      <c r="H2127" t="inlineStr">
        <is>
          <t>Cost of Goods Sold - Components</t>
        </is>
      </c>
      <c r="I2127" t="inlineStr">
        <is>
          <t>Product</t>
        </is>
      </c>
      <c r="J2127">
        <f>924.57</f>
        <v/>
      </c>
    </row>
    <row r="2128">
      <c r="B2128" t="inlineStr">
        <is>
          <t>09/10/2025</t>
        </is>
      </c>
      <c r="C2128" t="inlineStr">
        <is>
          <t>Expense</t>
        </is>
      </c>
      <c r="D2128" t="inlineStr"/>
      <c r="E2128" t="inlineStr">
        <is>
          <t>Northwind Supply</t>
        </is>
      </c>
      <c r="F2128" t="inlineStr">
        <is>
          <t>Northwind Supply invoice 33005</t>
        </is>
      </c>
      <c r="G2128" t="inlineStr">
        <is>
          <t>1010</t>
        </is>
      </c>
      <c r="H2128" t="inlineStr">
        <is>
          <t>Northgate Checking 7742</t>
        </is>
      </c>
      <c r="I2128" t="inlineStr">
        <is>
          <t>Product</t>
        </is>
      </c>
      <c r="K2128">
        <f>924.57</f>
        <v/>
      </c>
    </row>
    <row r="2129">
      <c r="A2129" t="inlineStr">
        <is>
          <t>Total for T-00423</t>
        </is>
      </c>
      <c r="J2129">
        <f>J2127</f>
        <v/>
      </c>
      <c r="K2129">
        <f>K2128</f>
        <v/>
      </c>
    </row>
    <row r="2130"/>
    <row r="2131">
      <c r="A2131" t="inlineStr">
        <is>
          <t>T-00421</t>
        </is>
      </c>
    </row>
    <row r="2132">
      <c r="B2132" t="inlineStr">
        <is>
          <t>09/11/2025</t>
        </is>
      </c>
      <c r="C2132" t="inlineStr">
        <is>
          <t>Expense</t>
        </is>
      </c>
      <c r="D2132" t="inlineStr"/>
      <c r="E2132" t="inlineStr">
        <is>
          <t>Fabrikam Freight</t>
        </is>
      </c>
      <c r="F2132" t="inlineStr">
        <is>
          <t>Fabrikam Freight invoice 81665</t>
        </is>
      </c>
      <c r="G2132" t="inlineStr">
        <is>
          <t>5100</t>
        </is>
      </c>
      <c r="H2132" t="inlineStr">
        <is>
          <t>Shipping and Freight</t>
        </is>
      </c>
      <c r="I2132" t="inlineStr">
        <is>
          <t>Product</t>
        </is>
      </c>
      <c r="J2132">
        <f>468.52</f>
        <v/>
      </c>
    </row>
    <row r="2133">
      <c r="B2133" t="inlineStr">
        <is>
          <t>09/11/2025</t>
        </is>
      </c>
      <c r="C2133" t="inlineStr">
        <is>
          <t>Expense</t>
        </is>
      </c>
      <c r="D2133" t="inlineStr"/>
      <c r="E2133" t="inlineStr">
        <is>
          <t>Fabrikam Freight</t>
        </is>
      </c>
      <c r="F2133" t="inlineStr">
        <is>
          <t>Fabrikam Freight invoice 81665</t>
        </is>
      </c>
      <c r="G2133" t="inlineStr">
        <is>
          <t>1010</t>
        </is>
      </c>
      <c r="H2133" t="inlineStr">
        <is>
          <t>Northgate Checking 7742</t>
        </is>
      </c>
      <c r="I2133" t="inlineStr">
        <is>
          <t>Product</t>
        </is>
      </c>
      <c r="K2133">
        <f>468.52</f>
        <v/>
      </c>
    </row>
    <row r="2134">
      <c r="A2134" t="inlineStr">
        <is>
          <t>Total for T-00421</t>
        </is>
      </c>
      <c r="J2134">
        <f>J2132</f>
        <v/>
      </c>
      <c r="K2134">
        <f>K2133</f>
        <v/>
      </c>
    </row>
    <row r="2135"/>
    <row r="2136">
      <c r="A2136" t="inlineStr">
        <is>
          <t>T-00427</t>
        </is>
      </c>
    </row>
    <row r="2137">
      <c r="B2137" t="inlineStr">
        <is>
          <t>09/11/2025</t>
        </is>
      </c>
      <c r="C2137" t="inlineStr">
        <is>
          <t>Expense</t>
        </is>
      </c>
      <c r="D2137" t="inlineStr"/>
      <c r="E2137" t="inlineStr">
        <is>
          <t>Litware Legal</t>
        </is>
      </c>
      <c r="F2137" t="inlineStr">
        <is>
          <t>Litware Legal invoice 15076</t>
        </is>
      </c>
      <c r="G2137" t="inlineStr">
        <is>
          <t>6800</t>
        </is>
      </c>
      <c r="H2137" t="inlineStr">
        <is>
          <t>Professional Fees</t>
        </is>
      </c>
      <c r="I2137" t="inlineStr">
        <is>
          <t>Overhead</t>
        </is>
      </c>
      <c r="J2137">
        <f>462.80</f>
        <v/>
      </c>
    </row>
    <row r="2138">
      <c r="B2138" t="inlineStr">
        <is>
          <t>09/11/2025</t>
        </is>
      </c>
      <c r="C2138" t="inlineStr">
        <is>
          <t>Expense</t>
        </is>
      </c>
      <c r="D2138" t="inlineStr"/>
      <c r="E2138" t="inlineStr">
        <is>
          <t>Litware Legal</t>
        </is>
      </c>
      <c r="F2138" t="inlineStr">
        <is>
          <t>Litware Legal invoice 15076</t>
        </is>
      </c>
      <c r="G2138" t="inlineStr">
        <is>
          <t>1010</t>
        </is>
      </c>
      <c r="H2138" t="inlineStr">
        <is>
          <t>Northgate Checking 7742</t>
        </is>
      </c>
      <c r="I2138" t="inlineStr">
        <is>
          <t>Overhead</t>
        </is>
      </c>
      <c r="K2138">
        <f>462.80</f>
        <v/>
      </c>
    </row>
    <row r="2139">
      <c r="A2139" t="inlineStr">
        <is>
          <t>Total for T-00427</t>
        </is>
      </c>
      <c r="J2139">
        <f>J2137</f>
        <v/>
      </c>
      <c r="K2139">
        <f>K2138</f>
        <v/>
      </c>
    </row>
    <row r="2140"/>
    <row r="2141">
      <c r="A2141" t="inlineStr">
        <is>
          <t>T-00443</t>
        </is>
      </c>
    </row>
    <row r="2142">
      <c r="B2142" t="inlineStr">
        <is>
          <t>09/11/2025</t>
        </is>
      </c>
      <c r="C2142" t="inlineStr">
        <is>
          <t>Expense</t>
        </is>
      </c>
      <c r="D2142" t="inlineStr"/>
      <c r="E2142" t="inlineStr">
        <is>
          <t>Redwood Prototyping</t>
        </is>
      </c>
      <c r="F2142" t="inlineStr">
        <is>
          <t>Redwood Prototyping invoice 63578</t>
        </is>
      </c>
      <c r="G2142" t="inlineStr">
        <is>
          <t>6100</t>
        </is>
      </c>
      <c r="H2142" t="inlineStr">
        <is>
          <t>Contract Engineering</t>
        </is>
      </c>
      <c r="I2142" t="inlineStr">
        <is>
          <t>Product</t>
        </is>
      </c>
      <c r="J2142">
        <f>1141.10</f>
        <v/>
      </c>
    </row>
    <row r="2143">
      <c r="B2143" t="inlineStr">
        <is>
          <t>09/11/2025</t>
        </is>
      </c>
      <c r="C2143" t="inlineStr">
        <is>
          <t>Expense</t>
        </is>
      </c>
      <c r="D2143" t="inlineStr"/>
      <c r="E2143" t="inlineStr">
        <is>
          <t>Redwood Prototyping</t>
        </is>
      </c>
      <c r="F2143" t="inlineStr">
        <is>
          <t>Redwood Prototyping invoice 63578</t>
        </is>
      </c>
      <c r="G2143" t="inlineStr">
        <is>
          <t>1010</t>
        </is>
      </c>
      <c r="H2143" t="inlineStr">
        <is>
          <t>Northgate Checking 7742</t>
        </is>
      </c>
      <c r="I2143" t="inlineStr">
        <is>
          <t>Product</t>
        </is>
      </c>
      <c r="K2143">
        <f>1141.10</f>
        <v/>
      </c>
    </row>
    <row r="2144">
      <c r="A2144" t="inlineStr">
        <is>
          <t>Total for T-00443</t>
        </is>
      </c>
      <c r="J2144">
        <f>J2142</f>
        <v/>
      </c>
      <c r="K2144">
        <f>K2143</f>
        <v/>
      </c>
    </row>
    <row r="2145"/>
    <row r="2146">
      <c r="A2146" t="inlineStr">
        <is>
          <t>T-00450</t>
        </is>
      </c>
    </row>
    <row r="2147">
      <c r="B2147" t="inlineStr">
        <is>
          <t>09/11/2025</t>
        </is>
      </c>
      <c r="C2147" t="inlineStr">
        <is>
          <t>Expense</t>
        </is>
      </c>
      <c r="D2147" t="inlineStr"/>
      <c r="E2147" t="inlineStr">
        <is>
          <t>Quartz CAD Services</t>
        </is>
      </c>
      <c r="F2147" t="inlineStr">
        <is>
          <t>Quartz CAD Services invoice 13005</t>
        </is>
      </c>
      <c r="G2147" t="inlineStr">
        <is>
          <t>6100</t>
        </is>
      </c>
      <c r="H2147" t="inlineStr">
        <is>
          <t>Contract Engineering</t>
        </is>
      </c>
      <c r="I2147" t="inlineStr">
        <is>
          <t>Product</t>
        </is>
      </c>
      <c r="J2147">
        <f>728.91</f>
        <v/>
      </c>
    </row>
    <row r="2148">
      <c r="B2148" t="inlineStr">
        <is>
          <t>09/11/2025</t>
        </is>
      </c>
      <c r="C2148" t="inlineStr">
        <is>
          <t>Expense</t>
        </is>
      </c>
      <c r="D2148" t="inlineStr"/>
      <c r="E2148" t="inlineStr">
        <is>
          <t>Quartz CAD Services</t>
        </is>
      </c>
      <c r="F2148" t="inlineStr">
        <is>
          <t>Quartz CAD Services invoice 13005</t>
        </is>
      </c>
      <c r="G2148" t="inlineStr">
        <is>
          <t>1010</t>
        </is>
      </c>
      <c r="H2148" t="inlineStr">
        <is>
          <t>Northgate Checking 7742</t>
        </is>
      </c>
      <c r="I2148" t="inlineStr">
        <is>
          <t>Product</t>
        </is>
      </c>
      <c r="K2148">
        <f>728.91</f>
        <v/>
      </c>
    </row>
    <row r="2149">
      <c r="A2149" t="inlineStr">
        <is>
          <t>Total for T-00450</t>
        </is>
      </c>
      <c r="J2149">
        <f>J2147</f>
        <v/>
      </c>
      <c r="K2149">
        <f>K2148</f>
        <v/>
      </c>
    </row>
    <row r="2150"/>
    <row r="2151">
      <c r="A2151" t="inlineStr">
        <is>
          <t>T-00407</t>
        </is>
      </c>
    </row>
    <row r="2152">
      <c r="B2152" t="inlineStr">
        <is>
          <t>09/12/2025</t>
        </is>
      </c>
      <c r="C2152" t="inlineStr">
        <is>
          <t>Bill Payment</t>
        </is>
      </c>
      <c r="D2152" t="inlineStr"/>
      <c r="E2152" t="inlineStr">
        <is>
          <t>Northwind Supply</t>
        </is>
      </c>
      <c r="F2152" t="inlineStr">
        <is>
          <t>Payment on NWS-4407</t>
        </is>
      </c>
      <c r="G2152" t="inlineStr">
        <is>
          <t>2010</t>
        </is>
      </c>
      <c r="H2152" t="inlineStr">
        <is>
          <t>Accounts Payable</t>
        </is>
      </c>
      <c r="I2152" t="inlineStr">
        <is>
          <t>Product</t>
        </is>
      </c>
      <c r="J2152">
        <f>13791.23</f>
        <v/>
      </c>
    </row>
    <row r="2153">
      <c r="B2153" t="inlineStr">
        <is>
          <t>09/12/2025</t>
        </is>
      </c>
      <c r="C2153" t="inlineStr">
        <is>
          <t>Bill Payment</t>
        </is>
      </c>
      <c r="D2153" t="inlineStr"/>
      <c r="E2153" t="inlineStr">
        <is>
          <t>Northwind Supply</t>
        </is>
      </c>
      <c r="F2153" t="inlineStr">
        <is>
          <t>Payment on NWS-4407</t>
        </is>
      </c>
      <c r="G2153" t="inlineStr">
        <is>
          <t>1010</t>
        </is>
      </c>
      <c r="H2153" t="inlineStr">
        <is>
          <t>Northgate Checking 7742</t>
        </is>
      </c>
      <c r="I2153" t="inlineStr">
        <is>
          <t>Product</t>
        </is>
      </c>
      <c r="K2153">
        <f>13791.23</f>
        <v/>
      </c>
    </row>
    <row r="2154">
      <c r="A2154" t="inlineStr">
        <is>
          <t>Total for T-00407</t>
        </is>
      </c>
      <c r="J2154">
        <f>J2152</f>
        <v/>
      </c>
      <c r="K2154">
        <f>K2153</f>
        <v/>
      </c>
    </row>
    <row r="2155"/>
    <row r="2156">
      <c r="A2156" t="inlineStr">
        <is>
          <t>T-00424</t>
        </is>
      </c>
    </row>
    <row r="2157">
      <c r="B2157" t="inlineStr">
        <is>
          <t>09/12/2025</t>
        </is>
      </c>
      <c r="C2157" t="inlineStr">
        <is>
          <t>Expense</t>
        </is>
      </c>
      <c r="D2157" t="inlineStr"/>
      <c r="E2157" t="inlineStr">
        <is>
          <t>Redwood Prototyping</t>
        </is>
      </c>
      <c r="F2157" t="inlineStr">
        <is>
          <t>Redwood Prototyping invoice 18469</t>
        </is>
      </c>
      <c r="G2157" t="inlineStr">
        <is>
          <t>6100</t>
        </is>
      </c>
      <c r="H2157" t="inlineStr">
        <is>
          <t>Contract Engineering</t>
        </is>
      </c>
      <c r="I2157" t="inlineStr">
        <is>
          <t>Product</t>
        </is>
      </c>
      <c r="J2157">
        <f>604.86</f>
        <v/>
      </c>
    </row>
    <row r="2158">
      <c r="B2158" t="inlineStr">
        <is>
          <t>09/12/2025</t>
        </is>
      </c>
      <c r="C2158" t="inlineStr">
        <is>
          <t>Expense</t>
        </is>
      </c>
      <c r="D2158" t="inlineStr"/>
      <c r="E2158" t="inlineStr">
        <is>
          <t>Redwood Prototyping</t>
        </is>
      </c>
      <c r="F2158" t="inlineStr">
        <is>
          <t>Redwood Prototyping invoice 18469</t>
        </is>
      </c>
      <c r="G2158" t="inlineStr">
        <is>
          <t>1010</t>
        </is>
      </c>
      <c r="H2158" t="inlineStr">
        <is>
          <t>Northgate Checking 7742</t>
        </is>
      </c>
      <c r="I2158" t="inlineStr">
        <is>
          <t>Product</t>
        </is>
      </c>
      <c r="K2158">
        <f>604.86</f>
        <v/>
      </c>
    </row>
    <row r="2159">
      <c r="A2159" t="inlineStr">
        <is>
          <t>Total for T-00424</t>
        </is>
      </c>
      <c r="J2159">
        <f>J2157</f>
        <v/>
      </c>
      <c r="K2159">
        <f>K2158</f>
        <v/>
      </c>
    </row>
    <row r="2160"/>
    <row r="2161">
      <c r="A2161" t="inlineStr">
        <is>
          <t>T-00444</t>
        </is>
      </c>
    </row>
    <row r="2162">
      <c r="B2162" t="inlineStr">
        <is>
          <t>09/14/2025</t>
        </is>
      </c>
      <c r="C2162" t="inlineStr">
        <is>
          <t>Expense</t>
        </is>
      </c>
      <c r="D2162" t="inlineStr"/>
      <c r="E2162" t="inlineStr">
        <is>
          <t>Litware Legal</t>
        </is>
      </c>
      <c r="F2162" t="inlineStr">
        <is>
          <t>Litware Legal invoice 59115</t>
        </is>
      </c>
      <c r="G2162" t="inlineStr">
        <is>
          <t>6800</t>
        </is>
      </c>
      <c r="H2162" t="inlineStr">
        <is>
          <t>Professional Fees</t>
        </is>
      </c>
      <c r="I2162" t="inlineStr">
        <is>
          <t>Overhead</t>
        </is>
      </c>
      <c r="J2162">
        <f>1064.74</f>
        <v/>
      </c>
    </row>
    <row r="2163">
      <c r="B2163" t="inlineStr">
        <is>
          <t>09/14/2025</t>
        </is>
      </c>
      <c r="C2163" t="inlineStr">
        <is>
          <t>Expense</t>
        </is>
      </c>
      <c r="D2163" t="inlineStr"/>
      <c r="E2163" t="inlineStr">
        <is>
          <t>Litware Legal</t>
        </is>
      </c>
      <c r="F2163" t="inlineStr">
        <is>
          <t>Litware Legal invoice 59115</t>
        </is>
      </c>
      <c r="G2163" t="inlineStr">
        <is>
          <t>1010</t>
        </is>
      </c>
      <c r="H2163" t="inlineStr">
        <is>
          <t>Northgate Checking 7742</t>
        </is>
      </c>
      <c r="I2163" t="inlineStr">
        <is>
          <t>Overhead</t>
        </is>
      </c>
      <c r="K2163">
        <f>1064.74</f>
        <v/>
      </c>
    </row>
    <row r="2164">
      <c r="A2164" t="inlineStr">
        <is>
          <t>Total for T-00444</t>
        </is>
      </c>
      <c r="J2164">
        <f>J2162</f>
        <v/>
      </c>
      <c r="K2164">
        <f>K2163</f>
        <v/>
      </c>
    </row>
    <row r="2165"/>
    <row r="2166">
      <c r="A2166" t="inlineStr">
        <is>
          <t>T-00409</t>
        </is>
      </c>
    </row>
    <row r="2167">
      <c r="B2167" t="inlineStr">
        <is>
          <t>09/15/2025</t>
        </is>
      </c>
      <c r="C2167" t="inlineStr">
        <is>
          <t>Expense</t>
        </is>
      </c>
      <c r="D2167" t="inlineStr"/>
      <c r="E2167" t="inlineStr">
        <is>
          <t>Proseware Payroll</t>
        </is>
      </c>
      <c r="F2167" t="inlineStr">
        <is>
          <t>Payroll 2025-09-15 gross wages</t>
        </is>
      </c>
      <c r="G2167" t="inlineStr">
        <is>
          <t>6000</t>
        </is>
      </c>
      <c r="H2167" t="inlineStr">
        <is>
          <t>Salaries and Wages</t>
        </is>
      </c>
      <c r="I2167" t="inlineStr">
        <is>
          <t>Overhead</t>
        </is>
      </c>
      <c r="J2167">
        <f>22600.00</f>
        <v/>
      </c>
    </row>
    <row r="2168">
      <c r="B2168" t="inlineStr">
        <is>
          <t>09/15/2025</t>
        </is>
      </c>
      <c r="C2168" t="inlineStr">
        <is>
          <t>Expense</t>
        </is>
      </c>
      <c r="D2168" t="inlineStr"/>
      <c r="E2168" t="inlineStr">
        <is>
          <t>Proseware Payroll</t>
        </is>
      </c>
      <c r="F2168" t="inlineStr">
        <is>
          <t>Payroll 2025-09-15 employer taxes</t>
        </is>
      </c>
      <c r="G2168" t="inlineStr">
        <is>
          <t>6010</t>
        </is>
      </c>
      <c r="H2168" t="inlineStr">
        <is>
          <t>Payroll Taxes</t>
        </is>
      </c>
      <c r="I2168" t="inlineStr">
        <is>
          <t>Overhead</t>
        </is>
      </c>
      <c r="J2168">
        <f>1728.90</f>
        <v/>
      </c>
    </row>
    <row r="2169">
      <c r="B2169" t="inlineStr">
        <is>
          <t>09/15/2025</t>
        </is>
      </c>
      <c r="C2169" t="inlineStr">
        <is>
          <t>Expense</t>
        </is>
      </c>
      <c r="D2169" t="inlineStr"/>
      <c r="E2169" t="inlineStr">
        <is>
          <t>Proseware Payroll</t>
        </is>
      </c>
      <c r="F2169" t="inlineStr">
        <is>
          <t>Proseware payroll debit 2025-09-15</t>
        </is>
      </c>
      <c r="G2169" t="inlineStr">
        <is>
          <t>1010</t>
        </is>
      </c>
      <c r="H2169" t="inlineStr">
        <is>
          <t>Northgate Checking 7742</t>
        </is>
      </c>
      <c r="I2169" t="inlineStr">
        <is>
          <t>Overhead</t>
        </is>
      </c>
      <c r="K2169">
        <f>24328.90</f>
        <v/>
      </c>
    </row>
    <row r="2170">
      <c r="A2170" t="inlineStr">
        <is>
          <t>Total for T-00409</t>
        </is>
      </c>
      <c r="J2170">
        <f>J2167+J2168</f>
        <v/>
      </c>
      <c r="K2170">
        <f>K2169</f>
        <v/>
      </c>
    </row>
    <row r="2171"/>
    <row r="2172">
      <c r="A2172" t="inlineStr">
        <is>
          <t>T-00411</t>
        </is>
      </c>
    </row>
    <row r="2173">
      <c r="B2173" t="inlineStr">
        <is>
          <t>09/15/2025</t>
        </is>
      </c>
      <c r="C2173" t="inlineStr">
        <is>
          <t>Deposit</t>
        </is>
      </c>
      <c r="D2173" t="inlineStr"/>
      <c r="E2173" t="inlineStr">
        <is>
          <t>Paylane</t>
        </is>
      </c>
      <c r="F2173" t="inlineStr">
        <is>
          <t>Paylane payout 2025-09 #1</t>
        </is>
      </c>
      <c r="G2173" t="inlineStr">
        <is>
          <t>1010</t>
        </is>
      </c>
      <c r="H2173" t="inlineStr">
        <is>
          <t>Northgate Checking 7742</t>
        </is>
      </c>
      <c r="I2173" t="inlineStr">
        <is>
          <t>Product</t>
        </is>
      </c>
      <c r="J2173">
        <f>19606.62</f>
        <v/>
      </c>
    </row>
    <row r="2174">
      <c r="B2174" t="inlineStr">
        <is>
          <t>09/15/2025</t>
        </is>
      </c>
      <c r="C2174" t="inlineStr">
        <is>
          <t>Deposit</t>
        </is>
      </c>
      <c r="D2174" t="inlineStr"/>
      <c r="E2174" t="inlineStr">
        <is>
          <t>Paylane</t>
        </is>
      </c>
      <c r="F2174" t="inlineStr">
        <is>
          <t>Paylane payout 2025-09 #1</t>
        </is>
      </c>
      <c r="G2174" t="inlineStr">
        <is>
          <t>1200</t>
        </is>
      </c>
      <c r="H2174" t="inlineStr">
        <is>
          <t>Paylane Clearing</t>
        </is>
      </c>
      <c r="I2174" t="inlineStr">
        <is>
          <t>Product</t>
        </is>
      </c>
      <c r="K2174">
        <f>19606.62</f>
        <v/>
      </c>
    </row>
    <row r="2175">
      <c r="A2175" t="inlineStr">
        <is>
          <t>Total for T-00411</t>
        </is>
      </c>
      <c r="J2175">
        <f>J2173</f>
        <v/>
      </c>
      <c r="K2175">
        <f>K2174</f>
        <v/>
      </c>
    </row>
    <row r="2176"/>
    <row r="2177">
      <c r="A2177" t="inlineStr">
        <is>
          <t>T-00429</t>
        </is>
      </c>
    </row>
    <row r="2178">
      <c r="B2178" t="inlineStr">
        <is>
          <t>09/15/2025</t>
        </is>
      </c>
      <c r="C2178" t="inlineStr">
        <is>
          <t>Expense</t>
        </is>
      </c>
      <c r="D2178" t="inlineStr"/>
      <c r="E2178" t="inlineStr">
        <is>
          <t>Bluepeak Engineering</t>
        </is>
      </c>
      <c r="F2178" t="inlineStr">
        <is>
          <t>Bluepeak Engineering invoice 73587</t>
        </is>
      </c>
      <c r="G2178" t="inlineStr">
        <is>
          <t>6100</t>
        </is>
      </c>
      <c r="H2178" t="inlineStr">
        <is>
          <t>Contract Engineering</t>
        </is>
      </c>
      <c r="I2178" t="inlineStr">
        <is>
          <t>Product</t>
        </is>
      </c>
      <c r="J2178">
        <f>1358.77</f>
        <v/>
      </c>
    </row>
    <row r="2179">
      <c r="B2179" t="inlineStr">
        <is>
          <t>09/15/2025</t>
        </is>
      </c>
      <c r="C2179" t="inlineStr">
        <is>
          <t>Expense</t>
        </is>
      </c>
      <c r="D2179" t="inlineStr"/>
      <c r="E2179" t="inlineStr">
        <is>
          <t>Bluepeak Engineering</t>
        </is>
      </c>
      <c r="F2179" t="inlineStr">
        <is>
          <t>Bluepeak Engineering invoice 73587</t>
        </is>
      </c>
      <c r="G2179" t="inlineStr">
        <is>
          <t>1010</t>
        </is>
      </c>
      <c r="H2179" t="inlineStr">
        <is>
          <t>Northgate Checking 7742</t>
        </is>
      </c>
      <c r="I2179" t="inlineStr">
        <is>
          <t>Product</t>
        </is>
      </c>
      <c r="K2179">
        <f>1358.77</f>
        <v/>
      </c>
    </row>
    <row r="2180">
      <c r="A2180" t="inlineStr">
        <is>
          <t>Total for T-00429</t>
        </is>
      </c>
      <c r="J2180">
        <f>J2178</f>
        <v/>
      </c>
      <c r="K2180">
        <f>K2179</f>
        <v/>
      </c>
    </row>
    <row r="2181"/>
    <row r="2182">
      <c r="A2182" t="inlineStr">
        <is>
          <t>T-00432</t>
        </is>
      </c>
    </row>
    <row r="2183">
      <c r="B2183" t="inlineStr">
        <is>
          <t>09/15/2025</t>
        </is>
      </c>
      <c r="C2183" t="inlineStr">
        <is>
          <t>Expense</t>
        </is>
      </c>
      <c r="D2183" t="inlineStr"/>
      <c r="E2183" t="inlineStr">
        <is>
          <t>Fabrikam Freight</t>
        </is>
      </c>
      <c r="F2183" t="inlineStr">
        <is>
          <t>Fabrikam Freight invoice 93631</t>
        </is>
      </c>
      <c r="G2183" t="inlineStr">
        <is>
          <t>5100</t>
        </is>
      </c>
      <c r="H2183" t="inlineStr">
        <is>
          <t>Shipping and Freight</t>
        </is>
      </c>
      <c r="I2183" t="inlineStr">
        <is>
          <t>Product</t>
        </is>
      </c>
      <c r="J2183">
        <f>527.94</f>
        <v/>
      </c>
    </row>
    <row r="2184">
      <c r="B2184" t="inlineStr">
        <is>
          <t>09/15/2025</t>
        </is>
      </c>
      <c r="C2184" t="inlineStr">
        <is>
          <t>Expense</t>
        </is>
      </c>
      <c r="D2184" t="inlineStr"/>
      <c r="E2184" t="inlineStr">
        <is>
          <t>Fabrikam Freight</t>
        </is>
      </c>
      <c r="F2184" t="inlineStr">
        <is>
          <t>Fabrikam Freight invoice 93631</t>
        </is>
      </c>
      <c r="G2184" t="inlineStr">
        <is>
          <t>1010</t>
        </is>
      </c>
      <c r="H2184" t="inlineStr">
        <is>
          <t>Northgate Checking 7742</t>
        </is>
      </c>
      <c r="I2184" t="inlineStr">
        <is>
          <t>Product</t>
        </is>
      </c>
      <c r="K2184">
        <f>527.94</f>
        <v/>
      </c>
    </row>
    <row r="2185">
      <c r="A2185" t="inlineStr">
        <is>
          <t>Total for T-00432</t>
        </is>
      </c>
      <c r="J2185">
        <f>J2183</f>
        <v/>
      </c>
      <c r="K2185">
        <f>K2184</f>
        <v/>
      </c>
    </row>
    <row r="2186"/>
    <row r="2187">
      <c r="A2187" t="inlineStr">
        <is>
          <t>T-00435</t>
        </is>
      </c>
    </row>
    <row r="2188">
      <c r="B2188" t="inlineStr">
        <is>
          <t>09/15/2025</t>
        </is>
      </c>
      <c r="C2188" t="inlineStr">
        <is>
          <t>Expense</t>
        </is>
      </c>
      <c r="D2188" t="inlineStr"/>
      <c r="E2188" t="inlineStr">
        <is>
          <t>Northwind Supply</t>
        </is>
      </c>
      <c r="F2188" t="inlineStr">
        <is>
          <t>Northwind Supply invoice 37556</t>
        </is>
      </c>
      <c r="G2188" t="inlineStr">
        <is>
          <t>5000</t>
        </is>
      </c>
      <c r="H2188" t="inlineStr">
        <is>
          <t>Cost of Goods Sold - Components</t>
        </is>
      </c>
      <c r="I2188" t="inlineStr">
        <is>
          <t>Product</t>
        </is>
      </c>
      <c r="J2188">
        <f>1141.10</f>
        <v/>
      </c>
    </row>
    <row r="2189">
      <c r="B2189" t="inlineStr">
        <is>
          <t>09/15/2025</t>
        </is>
      </c>
      <c r="C2189" t="inlineStr">
        <is>
          <t>Expense</t>
        </is>
      </c>
      <c r="D2189" t="inlineStr"/>
      <c r="E2189" t="inlineStr">
        <is>
          <t>Northwind Supply</t>
        </is>
      </c>
      <c r="F2189" t="inlineStr">
        <is>
          <t>Northwind Supply invoice 37556</t>
        </is>
      </c>
      <c r="G2189" t="inlineStr">
        <is>
          <t>1010</t>
        </is>
      </c>
      <c r="H2189" t="inlineStr">
        <is>
          <t>Northgate Checking 7742</t>
        </is>
      </c>
      <c r="I2189" t="inlineStr">
        <is>
          <t>Product</t>
        </is>
      </c>
      <c r="K2189">
        <f>1141.10</f>
        <v/>
      </c>
    </row>
    <row r="2190">
      <c r="A2190" t="inlineStr">
        <is>
          <t>Total for T-00435</t>
        </is>
      </c>
      <c r="J2190">
        <f>J2188</f>
        <v/>
      </c>
      <c r="K2190">
        <f>K2189</f>
        <v/>
      </c>
    </row>
    <row r="2191"/>
    <row r="2192">
      <c r="A2192" t="inlineStr">
        <is>
          <t>T-00439</t>
        </is>
      </c>
    </row>
    <row r="2193">
      <c r="B2193" t="inlineStr">
        <is>
          <t>09/16/2025</t>
        </is>
      </c>
      <c r="C2193" t="inlineStr">
        <is>
          <t>Expense</t>
        </is>
      </c>
      <c r="D2193" t="inlineStr"/>
      <c r="E2193" t="inlineStr">
        <is>
          <t>Fabrikam Freight</t>
        </is>
      </c>
      <c r="F2193" t="inlineStr">
        <is>
          <t>Fabrikam Freight invoice 71962</t>
        </is>
      </c>
      <c r="G2193" t="inlineStr">
        <is>
          <t>5100</t>
        </is>
      </c>
      <c r="H2193" t="inlineStr">
        <is>
          <t>Shipping and Freight</t>
        </is>
      </c>
      <c r="I2193" t="inlineStr">
        <is>
          <t>Product</t>
        </is>
      </c>
      <c r="J2193">
        <f>620.91</f>
        <v/>
      </c>
    </row>
    <row r="2194">
      <c r="B2194" t="inlineStr">
        <is>
          <t>09/16/2025</t>
        </is>
      </c>
      <c r="C2194" t="inlineStr">
        <is>
          <t>Expense</t>
        </is>
      </c>
      <c r="D2194" t="inlineStr"/>
      <c r="E2194" t="inlineStr">
        <is>
          <t>Fabrikam Freight</t>
        </is>
      </c>
      <c r="F2194" t="inlineStr">
        <is>
          <t>Fabrikam Freight invoice 71962</t>
        </is>
      </c>
      <c r="G2194" t="inlineStr">
        <is>
          <t>1010</t>
        </is>
      </c>
      <c r="H2194" t="inlineStr">
        <is>
          <t>Northgate Checking 7742</t>
        </is>
      </c>
      <c r="I2194" t="inlineStr">
        <is>
          <t>Product</t>
        </is>
      </c>
      <c r="K2194">
        <f>620.91</f>
        <v/>
      </c>
    </row>
    <row r="2195">
      <c r="A2195" t="inlineStr">
        <is>
          <t>Total for T-00439</t>
        </is>
      </c>
      <c r="J2195">
        <f>J2193</f>
        <v/>
      </c>
      <c r="K2195">
        <f>K2194</f>
        <v/>
      </c>
    </row>
    <row r="2196"/>
    <row r="2197">
      <c r="A2197" t="inlineStr">
        <is>
          <t>T-00442</t>
        </is>
      </c>
    </row>
    <row r="2198">
      <c r="B2198" t="inlineStr">
        <is>
          <t>09/16/2025</t>
        </is>
      </c>
      <c r="C2198" t="inlineStr">
        <is>
          <t>Expense</t>
        </is>
      </c>
      <c r="D2198" t="inlineStr"/>
      <c r="E2198" t="inlineStr">
        <is>
          <t>Redwood Prototyping</t>
        </is>
      </c>
      <c r="F2198" t="inlineStr">
        <is>
          <t>Redwood Prototyping invoice 26458</t>
        </is>
      </c>
      <c r="G2198" t="inlineStr">
        <is>
          <t>6100</t>
        </is>
      </c>
      <c r="H2198" t="inlineStr">
        <is>
          <t>Contract Engineering</t>
        </is>
      </c>
      <c r="I2198" t="inlineStr">
        <is>
          <t>Product</t>
        </is>
      </c>
      <c r="J2198">
        <f>613.65</f>
        <v/>
      </c>
    </row>
    <row r="2199">
      <c r="B2199" t="inlineStr">
        <is>
          <t>09/16/2025</t>
        </is>
      </c>
      <c r="C2199" t="inlineStr">
        <is>
          <t>Expense</t>
        </is>
      </c>
      <c r="D2199" t="inlineStr"/>
      <c r="E2199" t="inlineStr">
        <is>
          <t>Redwood Prototyping</t>
        </is>
      </c>
      <c r="F2199" t="inlineStr">
        <is>
          <t>Redwood Prototyping invoice 26458</t>
        </is>
      </c>
      <c r="G2199" t="inlineStr">
        <is>
          <t>1010</t>
        </is>
      </c>
      <c r="H2199" t="inlineStr">
        <is>
          <t>Northgate Checking 7742</t>
        </is>
      </c>
      <c r="I2199" t="inlineStr">
        <is>
          <t>Product</t>
        </is>
      </c>
      <c r="K2199">
        <f>613.65</f>
        <v/>
      </c>
    </row>
    <row r="2200">
      <c r="A2200" t="inlineStr">
        <is>
          <t>Total for T-00442</t>
        </is>
      </c>
      <c r="J2200">
        <f>J2198</f>
        <v/>
      </c>
      <c r="K2200">
        <f>K2199</f>
        <v/>
      </c>
    </row>
    <row r="2201"/>
    <row r="2202">
      <c r="A2202" t="inlineStr">
        <is>
          <t>T-00422</t>
        </is>
      </c>
    </row>
    <row r="2203">
      <c r="B2203" t="inlineStr">
        <is>
          <t>09/17/2025</t>
        </is>
      </c>
      <c r="C2203" t="inlineStr">
        <is>
          <t>Expense</t>
        </is>
      </c>
      <c r="D2203" t="inlineStr"/>
      <c r="E2203" t="inlineStr">
        <is>
          <t>Northwind Supply</t>
        </is>
      </c>
      <c r="F2203" t="inlineStr">
        <is>
          <t>Northwind Supply invoice 49494</t>
        </is>
      </c>
      <c r="G2203" t="inlineStr">
        <is>
          <t>5000</t>
        </is>
      </c>
      <c r="H2203" t="inlineStr">
        <is>
          <t>Cost of Goods Sold - Components</t>
        </is>
      </c>
      <c r="I2203" t="inlineStr">
        <is>
          <t>Product</t>
        </is>
      </c>
      <c r="J2203">
        <f>311.88</f>
        <v/>
      </c>
    </row>
    <row r="2204">
      <c r="B2204" t="inlineStr">
        <is>
          <t>09/17/2025</t>
        </is>
      </c>
      <c r="C2204" t="inlineStr">
        <is>
          <t>Expense</t>
        </is>
      </c>
      <c r="D2204" t="inlineStr"/>
      <c r="E2204" t="inlineStr">
        <is>
          <t>Northwind Supply</t>
        </is>
      </c>
      <c r="F2204" t="inlineStr">
        <is>
          <t>Northwind Supply invoice 49494</t>
        </is>
      </c>
      <c r="G2204" t="inlineStr">
        <is>
          <t>1010</t>
        </is>
      </c>
      <c r="H2204" t="inlineStr">
        <is>
          <t>Northgate Checking 7742</t>
        </is>
      </c>
      <c r="I2204" t="inlineStr">
        <is>
          <t>Product</t>
        </is>
      </c>
      <c r="K2204">
        <f>311.88</f>
        <v/>
      </c>
    </row>
    <row r="2205">
      <c r="A2205" t="inlineStr">
        <is>
          <t>Total for T-00422</t>
        </is>
      </c>
      <c r="J2205">
        <f>J2203</f>
        <v/>
      </c>
      <c r="K2205">
        <f>K2204</f>
        <v/>
      </c>
    </row>
    <row r="2206"/>
    <row r="2207">
      <c r="A2207" t="inlineStr">
        <is>
          <t>T-00426</t>
        </is>
      </c>
    </row>
    <row r="2208">
      <c r="B2208" t="inlineStr">
        <is>
          <t>09/17/2025</t>
        </is>
      </c>
      <c r="C2208" t="inlineStr">
        <is>
          <t>Expense</t>
        </is>
      </c>
      <c r="D2208" t="inlineStr"/>
      <c r="E2208" t="inlineStr">
        <is>
          <t>Northwind Supply</t>
        </is>
      </c>
      <c r="F2208" t="inlineStr">
        <is>
          <t>Northwind Supply invoice 12433</t>
        </is>
      </c>
      <c r="G2208" t="inlineStr">
        <is>
          <t>5000</t>
        </is>
      </c>
      <c r="H2208" t="inlineStr">
        <is>
          <t>Cost of Goods Sold - Components</t>
        </is>
      </c>
      <c r="I2208" t="inlineStr">
        <is>
          <t>Product</t>
        </is>
      </c>
      <c r="J2208">
        <f>505.46</f>
        <v/>
      </c>
    </row>
    <row r="2209">
      <c r="B2209" t="inlineStr">
        <is>
          <t>09/17/2025</t>
        </is>
      </c>
      <c r="C2209" t="inlineStr">
        <is>
          <t>Expense</t>
        </is>
      </c>
      <c r="D2209" t="inlineStr"/>
      <c r="E2209" t="inlineStr">
        <is>
          <t>Northwind Supply</t>
        </is>
      </c>
      <c r="F2209" t="inlineStr">
        <is>
          <t>Northwind Supply invoice 12433</t>
        </is>
      </c>
      <c r="G2209" t="inlineStr">
        <is>
          <t>1010</t>
        </is>
      </c>
      <c r="H2209" t="inlineStr">
        <is>
          <t>Northgate Checking 7742</t>
        </is>
      </c>
      <c r="I2209" t="inlineStr">
        <is>
          <t>Product</t>
        </is>
      </c>
      <c r="K2209">
        <f>505.46</f>
        <v/>
      </c>
    </row>
    <row r="2210">
      <c r="A2210" t="inlineStr">
        <is>
          <t>Total for T-00426</t>
        </is>
      </c>
      <c r="J2210">
        <f>J2208</f>
        <v/>
      </c>
      <c r="K2210">
        <f>K2209</f>
        <v/>
      </c>
    </row>
    <row r="2211"/>
    <row r="2212">
      <c r="A2212" t="inlineStr">
        <is>
          <t>T-00447</t>
        </is>
      </c>
    </row>
    <row r="2213">
      <c r="B2213" t="inlineStr">
        <is>
          <t>09/17/2025</t>
        </is>
      </c>
      <c r="C2213" t="inlineStr">
        <is>
          <t>Expense</t>
        </is>
      </c>
      <c r="D2213" t="inlineStr"/>
      <c r="E2213" t="inlineStr">
        <is>
          <t>Fabrikam Freight</t>
        </is>
      </c>
      <c r="F2213" t="inlineStr">
        <is>
          <t>Fabrikam Freight invoice 64066</t>
        </is>
      </c>
      <c r="G2213" t="inlineStr">
        <is>
          <t>5100</t>
        </is>
      </c>
      <c r="H2213" t="inlineStr">
        <is>
          <t>Shipping and Freight</t>
        </is>
      </c>
      <c r="I2213" t="inlineStr">
        <is>
          <t>Product</t>
        </is>
      </c>
      <c r="J2213">
        <f>509.74</f>
        <v/>
      </c>
    </row>
    <row r="2214">
      <c r="B2214" t="inlineStr">
        <is>
          <t>09/17/2025</t>
        </is>
      </c>
      <c r="C2214" t="inlineStr">
        <is>
          <t>Expense</t>
        </is>
      </c>
      <c r="D2214" t="inlineStr"/>
      <c r="E2214" t="inlineStr">
        <is>
          <t>Fabrikam Freight</t>
        </is>
      </c>
      <c r="F2214" t="inlineStr">
        <is>
          <t>Fabrikam Freight invoice 64066</t>
        </is>
      </c>
      <c r="G2214" t="inlineStr">
        <is>
          <t>1010</t>
        </is>
      </c>
      <c r="H2214" t="inlineStr">
        <is>
          <t>Northgate Checking 7742</t>
        </is>
      </c>
      <c r="I2214" t="inlineStr">
        <is>
          <t>Product</t>
        </is>
      </c>
      <c r="K2214">
        <f>509.74</f>
        <v/>
      </c>
    </row>
    <row r="2215">
      <c r="A2215" t="inlineStr">
        <is>
          <t>Total for T-00447</t>
        </is>
      </c>
      <c r="J2215">
        <f>J2213</f>
        <v/>
      </c>
      <c r="K2215">
        <f>K2214</f>
        <v/>
      </c>
    </row>
    <row r="2216"/>
    <row r="2217">
      <c r="A2217" t="inlineStr">
        <is>
          <t>T-00413</t>
        </is>
      </c>
    </row>
    <row r="2218">
      <c r="B2218" t="inlineStr">
        <is>
          <t>09/18/2025</t>
        </is>
      </c>
      <c r="C2218" t="inlineStr">
        <is>
          <t>Expense</t>
        </is>
      </c>
      <c r="D2218" t="inlineStr"/>
      <c r="E2218" t="inlineStr">
        <is>
          <t>Trey Research</t>
        </is>
      </c>
      <c r="F2218" t="inlineStr">
        <is>
          <t>Trey Research monthly engagement</t>
        </is>
      </c>
      <c r="G2218" t="inlineStr">
        <is>
          <t>6600</t>
        </is>
      </c>
      <c r="H2218" t="inlineStr">
        <is>
          <t>Marketing and Advertising</t>
        </is>
      </c>
      <c r="I2218" t="inlineStr">
        <is>
          <t>Overhead</t>
        </is>
      </c>
      <c r="J2218">
        <f>2095.45</f>
        <v/>
      </c>
    </row>
    <row r="2219">
      <c r="B2219" t="inlineStr">
        <is>
          <t>09/18/2025</t>
        </is>
      </c>
      <c r="C2219" t="inlineStr">
        <is>
          <t>Expense</t>
        </is>
      </c>
      <c r="D2219" t="inlineStr"/>
      <c r="E2219" t="inlineStr">
        <is>
          <t>Trey Research</t>
        </is>
      </c>
      <c r="F2219" t="inlineStr">
        <is>
          <t>Trey Research monthly engagement</t>
        </is>
      </c>
      <c r="G2219" t="inlineStr">
        <is>
          <t>1010</t>
        </is>
      </c>
      <c r="H2219" t="inlineStr">
        <is>
          <t>Northgate Checking 7742</t>
        </is>
      </c>
      <c r="I2219" t="inlineStr">
        <is>
          <t>Overhead</t>
        </is>
      </c>
      <c r="K2219">
        <f>2095.45</f>
        <v/>
      </c>
    </row>
    <row r="2220">
      <c r="A2220" t="inlineStr">
        <is>
          <t>Total for T-00413</t>
        </is>
      </c>
      <c r="J2220">
        <f>J2218</f>
        <v/>
      </c>
      <c r="K2220">
        <f>K2219</f>
        <v/>
      </c>
    </row>
    <row r="2221"/>
    <row r="2222">
      <c r="A2222" t="inlineStr">
        <is>
          <t>T-00425</t>
        </is>
      </c>
    </row>
    <row r="2223">
      <c r="B2223" t="inlineStr">
        <is>
          <t>09/18/2025</t>
        </is>
      </c>
      <c r="C2223" t="inlineStr">
        <is>
          <t>Expense</t>
        </is>
      </c>
      <c r="D2223" t="inlineStr"/>
      <c r="E2223" t="inlineStr">
        <is>
          <t>Quartz CAD Services</t>
        </is>
      </c>
      <c r="F2223" t="inlineStr">
        <is>
          <t>Quartz CAD Services invoice 38641</t>
        </is>
      </c>
      <c r="G2223" t="inlineStr">
        <is>
          <t>6100</t>
        </is>
      </c>
      <c r="H2223" t="inlineStr">
        <is>
          <t>Contract Engineering</t>
        </is>
      </c>
      <c r="I2223" t="inlineStr">
        <is>
          <t>Product</t>
        </is>
      </c>
      <c r="J2223">
        <f>608.55</f>
        <v/>
      </c>
    </row>
    <row r="2224">
      <c r="B2224" t="inlineStr">
        <is>
          <t>09/18/2025</t>
        </is>
      </c>
      <c r="C2224" t="inlineStr">
        <is>
          <t>Expense</t>
        </is>
      </c>
      <c r="D2224" t="inlineStr"/>
      <c r="E2224" t="inlineStr">
        <is>
          <t>Quartz CAD Services</t>
        </is>
      </c>
      <c r="F2224" t="inlineStr">
        <is>
          <t>Quartz CAD Services invoice 38641</t>
        </is>
      </c>
      <c r="G2224" t="inlineStr">
        <is>
          <t>1010</t>
        </is>
      </c>
      <c r="H2224" t="inlineStr">
        <is>
          <t>Northgate Checking 7742</t>
        </is>
      </c>
      <c r="I2224" t="inlineStr">
        <is>
          <t>Product</t>
        </is>
      </c>
      <c r="K2224">
        <f>608.55</f>
        <v/>
      </c>
    </row>
    <row r="2225">
      <c r="A2225" t="inlineStr">
        <is>
          <t>Total for T-00425</t>
        </is>
      </c>
      <c r="J2225">
        <f>J2223</f>
        <v/>
      </c>
      <c r="K2225">
        <f>K2224</f>
        <v/>
      </c>
    </row>
    <row r="2226"/>
    <row r="2227">
      <c r="A2227" t="inlineStr">
        <is>
          <t>T-00451</t>
        </is>
      </c>
    </row>
    <row r="2228">
      <c r="B2228" t="inlineStr">
        <is>
          <t>09/19/2025</t>
        </is>
      </c>
      <c r="C2228" t="inlineStr">
        <is>
          <t>Expense</t>
        </is>
      </c>
      <c r="D2228" t="inlineStr"/>
      <c r="E2228" t="inlineStr">
        <is>
          <t>Northgate Bank</t>
        </is>
      </c>
      <c r="F2228" t="inlineStr">
        <is>
          <t>Returned item adjustment</t>
        </is>
      </c>
      <c r="G2228" t="inlineStr">
        <is>
          <t>6950</t>
        </is>
      </c>
      <c r="H2228" t="inlineStr">
        <is>
          <t>Bank and Processor Fees</t>
        </is>
      </c>
      <c r="I2228" t="inlineStr">
        <is>
          <t>Overhead</t>
        </is>
      </c>
      <c r="J2228">
        <f>312.44</f>
        <v/>
      </c>
    </row>
    <row r="2229">
      <c r="B2229" t="inlineStr">
        <is>
          <t>09/19/2025</t>
        </is>
      </c>
      <c r="C2229" t="inlineStr">
        <is>
          <t>Expense</t>
        </is>
      </c>
      <c r="D2229" t="inlineStr"/>
      <c r="E2229" t="inlineStr">
        <is>
          <t>Northgate Bank</t>
        </is>
      </c>
      <c r="F2229" t="inlineStr">
        <is>
          <t>Returned item adjustment</t>
        </is>
      </c>
      <c r="G2229" t="inlineStr">
        <is>
          <t>1010</t>
        </is>
      </c>
      <c r="H2229" t="inlineStr">
        <is>
          <t>Northgate Checking 7742</t>
        </is>
      </c>
      <c r="I2229" t="inlineStr">
        <is>
          <t>Overhead</t>
        </is>
      </c>
      <c r="K2229">
        <f>312.44</f>
        <v/>
      </c>
    </row>
    <row r="2230">
      <c r="A2230" t="inlineStr">
        <is>
          <t>Total for T-00451</t>
        </is>
      </c>
      <c r="J2230">
        <f>J2228</f>
        <v/>
      </c>
      <c r="K2230">
        <f>K2229</f>
        <v/>
      </c>
    </row>
    <row r="2231"/>
    <row r="2232">
      <c r="A2232" t="inlineStr">
        <is>
          <t>T-00408</t>
        </is>
      </c>
    </row>
    <row r="2233">
      <c r="B2233" t="inlineStr">
        <is>
          <t>09/20/2025</t>
        </is>
      </c>
      <c r="C2233" t="inlineStr">
        <is>
          <t>Bill</t>
        </is>
      </c>
      <c r="D2233" t="inlineStr">
        <is>
          <t>NWS-4408</t>
        </is>
      </c>
      <c r="E2233" t="inlineStr">
        <is>
          <t>Northwind Supply</t>
        </is>
      </c>
      <c r="F2233" t="inlineStr">
        <is>
          <t>NWS-4408 components</t>
        </is>
      </c>
      <c r="G2233" t="inlineStr">
        <is>
          <t>5000</t>
        </is>
      </c>
      <c r="H2233" t="inlineStr">
        <is>
          <t>Cost of Goods Sold - Components</t>
        </is>
      </c>
      <c r="I2233" t="inlineStr">
        <is>
          <t>Product</t>
        </is>
      </c>
      <c r="J2233">
        <f>13804.57</f>
        <v/>
      </c>
    </row>
    <row r="2234">
      <c r="B2234" t="inlineStr">
        <is>
          <t>09/20/2025</t>
        </is>
      </c>
      <c r="C2234" t="inlineStr">
        <is>
          <t>Bill</t>
        </is>
      </c>
      <c r="D2234" t="inlineStr">
        <is>
          <t>NWS-4408</t>
        </is>
      </c>
      <c r="E2234" t="inlineStr">
        <is>
          <t>Northwind Supply</t>
        </is>
      </c>
      <c r="F2234" t="inlineStr">
        <is>
          <t>NWS-4408 components</t>
        </is>
      </c>
      <c r="G2234" t="inlineStr">
        <is>
          <t>2010</t>
        </is>
      </c>
      <c r="H2234" t="inlineStr">
        <is>
          <t>Accounts Payable</t>
        </is>
      </c>
      <c r="I2234" t="inlineStr">
        <is>
          <t>Product</t>
        </is>
      </c>
      <c r="K2234">
        <f>13804.57</f>
        <v/>
      </c>
    </row>
    <row r="2235">
      <c r="A2235" t="inlineStr">
        <is>
          <t>Total for T-00408</t>
        </is>
      </c>
      <c r="J2235">
        <f>J2233</f>
        <v/>
      </c>
      <c r="K2235">
        <f>K2234</f>
        <v/>
      </c>
    </row>
    <row r="2236"/>
    <row r="2237">
      <c r="A2237" t="inlineStr">
        <is>
          <t>T-00433</t>
        </is>
      </c>
    </row>
    <row r="2238">
      <c r="B2238" t="inlineStr">
        <is>
          <t>09/20/2025</t>
        </is>
      </c>
      <c r="C2238" t="inlineStr">
        <is>
          <t>Expense</t>
        </is>
      </c>
      <c r="D2238" t="inlineStr"/>
      <c r="E2238" t="inlineStr">
        <is>
          <t>Redwood Prototyping</t>
        </is>
      </c>
      <c r="F2238" t="inlineStr">
        <is>
          <t>Redwood Prototyping invoice 58358</t>
        </is>
      </c>
      <c r="G2238" t="inlineStr">
        <is>
          <t>6100</t>
        </is>
      </c>
      <c r="H2238" t="inlineStr">
        <is>
          <t>Contract Engineering</t>
        </is>
      </c>
      <c r="I2238" t="inlineStr">
        <is>
          <t>Product</t>
        </is>
      </c>
      <c r="J2238">
        <f>1093.87</f>
        <v/>
      </c>
    </row>
    <row r="2239">
      <c r="B2239" t="inlineStr">
        <is>
          <t>09/20/2025</t>
        </is>
      </c>
      <c r="C2239" t="inlineStr">
        <is>
          <t>Expense</t>
        </is>
      </c>
      <c r="D2239" t="inlineStr"/>
      <c r="E2239" t="inlineStr">
        <is>
          <t>Redwood Prototyping</t>
        </is>
      </c>
      <c r="F2239" t="inlineStr">
        <is>
          <t>Redwood Prototyping invoice 58358</t>
        </is>
      </c>
      <c r="G2239" t="inlineStr">
        <is>
          <t>1010</t>
        </is>
      </c>
      <c r="H2239" t="inlineStr">
        <is>
          <t>Northgate Checking 7742</t>
        </is>
      </c>
      <c r="I2239" t="inlineStr">
        <is>
          <t>Product</t>
        </is>
      </c>
      <c r="K2239">
        <f>1093.87</f>
        <v/>
      </c>
    </row>
    <row r="2240">
      <c r="A2240" t="inlineStr">
        <is>
          <t>Total for T-00433</t>
        </is>
      </c>
      <c r="J2240">
        <f>J2238</f>
        <v/>
      </c>
      <c r="K2240">
        <f>K2239</f>
        <v/>
      </c>
    </row>
    <row r="2241"/>
    <row r="2242">
      <c r="A2242" t="inlineStr">
        <is>
          <t>T-00445</t>
        </is>
      </c>
    </row>
    <row r="2243">
      <c r="B2243" t="inlineStr">
        <is>
          <t>09/20/2025</t>
        </is>
      </c>
      <c r="C2243" t="inlineStr">
        <is>
          <t>Expense</t>
        </is>
      </c>
      <c r="D2243" t="inlineStr"/>
      <c r="E2243" t="inlineStr">
        <is>
          <t>Redwood Prototyping</t>
        </is>
      </c>
      <c r="F2243" t="inlineStr">
        <is>
          <t>Redwood Prototyping invoice 55434</t>
        </is>
      </c>
      <c r="G2243" t="inlineStr">
        <is>
          <t>6100</t>
        </is>
      </c>
      <c r="H2243" t="inlineStr">
        <is>
          <t>Contract Engineering</t>
        </is>
      </c>
      <c r="I2243" t="inlineStr">
        <is>
          <t>Product</t>
        </is>
      </c>
      <c r="J2243">
        <f>1145.70</f>
        <v/>
      </c>
    </row>
    <row r="2244">
      <c r="B2244" t="inlineStr">
        <is>
          <t>09/20/2025</t>
        </is>
      </c>
      <c r="C2244" t="inlineStr">
        <is>
          <t>Expense</t>
        </is>
      </c>
      <c r="D2244" t="inlineStr"/>
      <c r="E2244" t="inlineStr">
        <is>
          <t>Redwood Prototyping</t>
        </is>
      </c>
      <c r="F2244" t="inlineStr">
        <is>
          <t>Redwood Prototyping invoice 55434</t>
        </is>
      </c>
      <c r="G2244" t="inlineStr">
        <is>
          <t>1010</t>
        </is>
      </c>
      <c r="H2244" t="inlineStr">
        <is>
          <t>Northgate Checking 7742</t>
        </is>
      </c>
      <c r="I2244" t="inlineStr">
        <is>
          <t>Product</t>
        </is>
      </c>
      <c r="K2244">
        <f>1145.70</f>
        <v/>
      </c>
    </row>
    <row r="2245">
      <c r="A2245" t="inlineStr">
        <is>
          <t>Total for T-00445</t>
        </is>
      </c>
      <c r="J2245">
        <f>J2243</f>
        <v/>
      </c>
      <c r="K2245">
        <f>K2244</f>
        <v/>
      </c>
    </row>
    <row r="2246"/>
    <row r="2247">
      <c r="A2247" t="inlineStr">
        <is>
          <t>T-00417</t>
        </is>
      </c>
    </row>
    <row r="2248">
      <c r="B2248" t="inlineStr">
        <is>
          <t>09/24/2025</t>
        </is>
      </c>
      <c r="C2248" t="inlineStr">
        <is>
          <t>Expense</t>
        </is>
      </c>
      <c r="D2248" t="inlineStr"/>
      <c r="E2248" t="inlineStr">
        <is>
          <t>Fabrikam Freight</t>
        </is>
      </c>
      <c r="F2248" t="inlineStr">
        <is>
          <t>Fabrikam Freight invoice 93489</t>
        </is>
      </c>
      <c r="G2248" t="inlineStr">
        <is>
          <t>5100</t>
        </is>
      </c>
      <c r="H2248" t="inlineStr">
        <is>
          <t>Shipping and Freight</t>
        </is>
      </c>
      <c r="I2248" t="inlineStr">
        <is>
          <t>Product</t>
        </is>
      </c>
      <c r="J2248">
        <f>457.12</f>
        <v/>
      </c>
    </row>
    <row r="2249">
      <c r="B2249" t="inlineStr">
        <is>
          <t>09/24/2025</t>
        </is>
      </c>
      <c r="C2249" t="inlineStr">
        <is>
          <t>Expense</t>
        </is>
      </c>
      <c r="D2249" t="inlineStr"/>
      <c r="E2249" t="inlineStr">
        <is>
          <t>Fabrikam Freight</t>
        </is>
      </c>
      <c r="F2249" t="inlineStr">
        <is>
          <t>Fabrikam Freight invoice 93489</t>
        </is>
      </c>
      <c r="G2249" t="inlineStr">
        <is>
          <t>1010</t>
        </is>
      </c>
      <c r="H2249" t="inlineStr">
        <is>
          <t>Northgate Checking 7742</t>
        </is>
      </c>
      <c r="I2249" t="inlineStr">
        <is>
          <t>Product</t>
        </is>
      </c>
      <c r="K2249">
        <f>457.12</f>
        <v/>
      </c>
    </row>
    <row r="2250">
      <c r="A2250" t="inlineStr">
        <is>
          <t>Total for T-00417</t>
        </is>
      </c>
      <c r="J2250">
        <f>J2248</f>
        <v/>
      </c>
      <c r="K2250">
        <f>K2249</f>
        <v/>
      </c>
    </row>
    <row r="2251"/>
    <row r="2252">
      <c r="A2252" t="inlineStr">
        <is>
          <t>T-00440</t>
        </is>
      </c>
    </row>
    <row r="2253">
      <c r="B2253" t="inlineStr">
        <is>
          <t>09/24/2025</t>
        </is>
      </c>
      <c r="C2253" t="inlineStr">
        <is>
          <t>Expense</t>
        </is>
      </c>
      <c r="D2253" t="inlineStr"/>
      <c r="E2253" t="inlineStr">
        <is>
          <t>Litware Legal</t>
        </is>
      </c>
      <c r="F2253" t="inlineStr">
        <is>
          <t>Litware Legal invoice 31324</t>
        </is>
      </c>
      <c r="G2253" t="inlineStr">
        <is>
          <t>6800</t>
        </is>
      </c>
      <c r="H2253" t="inlineStr">
        <is>
          <t>Professional Fees</t>
        </is>
      </c>
      <c r="I2253" t="inlineStr">
        <is>
          <t>Overhead</t>
        </is>
      </c>
      <c r="J2253">
        <f>2330.08</f>
        <v/>
      </c>
    </row>
    <row r="2254">
      <c r="B2254" t="inlineStr">
        <is>
          <t>09/24/2025</t>
        </is>
      </c>
      <c r="C2254" t="inlineStr">
        <is>
          <t>Expense</t>
        </is>
      </c>
      <c r="D2254" t="inlineStr"/>
      <c r="E2254" t="inlineStr">
        <is>
          <t>Litware Legal</t>
        </is>
      </c>
      <c r="F2254" t="inlineStr">
        <is>
          <t>Litware Legal invoice 31324</t>
        </is>
      </c>
      <c r="G2254" t="inlineStr">
        <is>
          <t>1010</t>
        </is>
      </c>
      <c r="H2254" t="inlineStr">
        <is>
          <t>Northgate Checking 7742</t>
        </is>
      </c>
      <c r="I2254" t="inlineStr">
        <is>
          <t>Overhead</t>
        </is>
      </c>
      <c r="K2254">
        <f>2330.08</f>
        <v/>
      </c>
    </row>
    <row r="2255">
      <c r="A2255" t="inlineStr">
        <is>
          <t>Total for T-00440</t>
        </is>
      </c>
      <c r="J2255">
        <f>J2253</f>
        <v/>
      </c>
      <c r="K2255">
        <f>K2254</f>
        <v/>
      </c>
    </row>
    <row r="2256"/>
    <row r="2257">
      <c r="A2257" t="inlineStr">
        <is>
          <t>T-00449</t>
        </is>
      </c>
    </row>
    <row r="2258">
      <c r="B2258" t="inlineStr">
        <is>
          <t>09/24/2025</t>
        </is>
      </c>
      <c r="C2258" t="inlineStr">
        <is>
          <t>Expense</t>
        </is>
      </c>
      <c r="D2258" t="inlineStr"/>
      <c r="E2258" t="inlineStr">
        <is>
          <t>Northwind Supply</t>
        </is>
      </c>
      <c r="F2258" t="inlineStr">
        <is>
          <t>Northwind Supply invoice 57723</t>
        </is>
      </c>
      <c r="G2258" t="inlineStr">
        <is>
          <t>5000</t>
        </is>
      </c>
      <c r="H2258" t="inlineStr">
        <is>
          <t>Cost of Goods Sold - Components</t>
        </is>
      </c>
      <c r="I2258" t="inlineStr">
        <is>
          <t>Product</t>
        </is>
      </c>
      <c r="J2258">
        <f>1061.72</f>
        <v/>
      </c>
    </row>
    <row r="2259">
      <c r="B2259" t="inlineStr">
        <is>
          <t>09/24/2025</t>
        </is>
      </c>
      <c r="C2259" t="inlineStr">
        <is>
          <t>Expense</t>
        </is>
      </c>
      <c r="D2259" t="inlineStr"/>
      <c r="E2259" t="inlineStr">
        <is>
          <t>Northwind Supply</t>
        </is>
      </c>
      <c r="F2259" t="inlineStr">
        <is>
          <t>Northwind Supply invoice 57723</t>
        </is>
      </c>
      <c r="G2259" t="inlineStr">
        <is>
          <t>1010</t>
        </is>
      </c>
      <c r="H2259" t="inlineStr">
        <is>
          <t>Northgate Checking 7742</t>
        </is>
      </c>
      <c r="I2259" t="inlineStr">
        <is>
          <t>Product</t>
        </is>
      </c>
      <c r="K2259">
        <f>1061.72</f>
        <v/>
      </c>
    </row>
    <row r="2260">
      <c r="A2260" t="inlineStr">
        <is>
          <t>Total for T-00449</t>
        </is>
      </c>
      <c r="J2260">
        <f>J2258</f>
        <v/>
      </c>
      <c r="K2260">
        <f>K2259</f>
        <v/>
      </c>
    </row>
    <row r="2261"/>
    <row r="2262">
      <c r="A2262" t="inlineStr">
        <is>
          <t>T-00438</t>
        </is>
      </c>
    </row>
    <row r="2263">
      <c r="B2263" t="inlineStr">
        <is>
          <t>09/25/2025</t>
        </is>
      </c>
      <c r="C2263" t="inlineStr">
        <is>
          <t>Expense</t>
        </is>
      </c>
      <c r="D2263" t="inlineStr"/>
      <c r="E2263" t="inlineStr">
        <is>
          <t>Quartz CAD Services</t>
        </is>
      </c>
      <c r="F2263" t="inlineStr">
        <is>
          <t>Quartz CAD Services invoice 90682</t>
        </is>
      </c>
      <c r="G2263" t="inlineStr">
        <is>
          <t>6100</t>
        </is>
      </c>
      <c r="H2263" t="inlineStr">
        <is>
          <t>Contract Engineering</t>
        </is>
      </c>
      <c r="I2263" t="inlineStr">
        <is>
          <t>Product</t>
        </is>
      </c>
      <c r="J2263">
        <f>308.34</f>
        <v/>
      </c>
    </row>
    <row r="2264">
      <c r="B2264" t="inlineStr">
        <is>
          <t>09/25/2025</t>
        </is>
      </c>
      <c r="C2264" t="inlineStr">
        <is>
          <t>Expense</t>
        </is>
      </c>
      <c r="D2264" t="inlineStr"/>
      <c r="E2264" t="inlineStr">
        <is>
          <t>Quartz CAD Services</t>
        </is>
      </c>
      <c r="F2264" t="inlineStr">
        <is>
          <t>Quartz CAD Services invoice 90682</t>
        </is>
      </c>
      <c r="G2264" t="inlineStr">
        <is>
          <t>1010</t>
        </is>
      </c>
      <c r="H2264" t="inlineStr">
        <is>
          <t>Northgate Checking 7742</t>
        </is>
      </c>
      <c r="I2264" t="inlineStr">
        <is>
          <t>Product</t>
        </is>
      </c>
      <c r="K2264">
        <f>308.34</f>
        <v/>
      </c>
    </row>
    <row r="2265">
      <c r="A2265" t="inlineStr">
        <is>
          <t>Total for T-00438</t>
        </is>
      </c>
      <c r="J2265">
        <f>J2263</f>
        <v/>
      </c>
      <c r="K2265">
        <f>K2264</f>
        <v/>
      </c>
    </row>
    <row r="2266"/>
    <row r="2267">
      <c r="A2267" t="inlineStr">
        <is>
          <t>T-00415</t>
        </is>
      </c>
    </row>
    <row r="2268">
      <c r="B2268" t="inlineStr">
        <is>
          <t>09/26/2025</t>
        </is>
      </c>
      <c r="C2268" t="inlineStr">
        <is>
          <t>Expense</t>
        </is>
      </c>
      <c r="D2268" t="inlineStr"/>
      <c r="E2268" t="inlineStr">
        <is>
          <t>Redwood Prototyping</t>
        </is>
      </c>
      <c r="F2268" t="inlineStr">
        <is>
          <t>Redwood Prototyping invoice 85075</t>
        </is>
      </c>
      <c r="G2268" t="inlineStr">
        <is>
          <t>6100</t>
        </is>
      </c>
      <c r="H2268" t="inlineStr">
        <is>
          <t>Contract Engineering</t>
        </is>
      </c>
      <c r="I2268" t="inlineStr">
        <is>
          <t>Product</t>
        </is>
      </c>
      <c r="J2268">
        <f>1324.37</f>
        <v/>
      </c>
    </row>
    <row r="2269">
      <c r="B2269" t="inlineStr">
        <is>
          <t>09/26/2025</t>
        </is>
      </c>
      <c r="C2269" t="inlineStr">
        <is>
          <t>Expense</t>
        </is>
      </c>
      <c r="D2269" t="inlineStr"/>
      <c r="E2269" t="inlineStr">
        <is>
          <t>Redwood Prototyping</t>
        </is>
      </c>
      <c r="F2269" t="inlineStr">
        <is>
          <t>Redwood Prototyping invoice 85075</t>
        </is>
      </c>
      <c r="G2269" t="inlineStr">
        <is>
          <t>1010</t>
        </is>
      </c>
      <c r="H2269" t="inlineStr">
        <is>
          <t>Northgate Checking 7742</t>
        </is>
      </c>
      <c r="I2269" t="inlineStr">
        <is>
          <t>Product</t>
        </is>
      </c>
      <c r="K2269">
        <f>1324.37</f>
        <v/>
      </c>
    </row>
    <row r="2270">
      <c r="A2270" t="inlineStr">
        <is>
          <t>Total for T-00415</t>
        </is>
      </c>
      <c r="J2270">
        <f>J2268</f>
        <v/>
      </c>
      <c r="K2270">
        <f>K2269</f>
        <v/>
      </c>
    </row>
    <row r="2271"/>
    <row r="2272">
      <c r="A2272" t="inlineStr">
        <is>
          <t>T-00419</t>
        </is>
      </c>
    </row>
    <row r="2273">
      <c r="B2273" t="inlineStr">
        <is>
          <t>09/27/2025</t>
        </is>
      </c>
      <c r="C2273" t="inlineStr">
        <is>
          <t>Expense</t>
        </is>
      </c>
      <c r="D2273" t="inlineStr"/>
      <c r="E2273" t="inlineStr">
        <is>
          <t>Quartz CAD Services</t>
        </is>
      </c>
      <c r="F2273" t="inlineStr">
        <is>
          <t>Quartz CAD Services invoice 16790</t>
        </is>
      </c>
      <c r="G2273" t="inlineStr">
        <is>
          <t>6100</t>
        </is>
      </c>
      <c r="H2273" t="inlineStr">
        <is>
          <t>Contract Engineering</t>
        </is>
      </c>
      <c r="I2273" t="inlineStr">
        <is>
          <t>Product</t>
        </is>
      </c>
      <c r="J2273">
        <f>687.56</f>
        <v/>
      </c>
    </row>
    <row r="2274">
      <c r="B2274" t="inlineStr">
        <is>
          <t>09/27/2025</t>
        </is>
      </c>
      <c r="C2274" t="inlineStr">
        <is>
          <t>Expense</t>
        </is>
      </c>
      <c r="D2274" t="inlineStr"/>
      <c r="E2274" t="inlineStr">
        <is>
          <t>Quartz CAD Services</t>
        </is>
      </c>
      <c r="F2274" t="inlineStr">
        <is>
          <t>Quartz CAD Services invoice 16790</t>
        </is>
      </c>
      <c r="G2274" t="inlineStr">
        <is>
          <t>1010</t>
        </is>
      </c>
      <c r="H2274" t="inlineStr">
        <is>
          <t>Northgate Checking 7742</t>
        </is>
      </c>
      <c r="I2274" t="inlineStr">
        <is>
          <t>Product</t>
        </is>
      </c>
      <c r="K2274">
        <f>687.56</f>
        <v/>
      </c>
    </row>
    <row r="2275">
      <c r="A2275" t="inlineStr">
        <is>
          <t>Total for T-00419</t>
        </is>
      </c>
      <c r="J2275">
        <f>J2273</f>
        <v/>
      </c>
      <c r="K2275">
        <f>K2274</f>
        <v/>
      </c>
    </row>
    <row r="2276"/>
    <row r="2277">
      <c r="A2277" t="inlineStr">
        <is>
          <t>T-00410</t>
        </is>
      </c>
    </row>
    <row r="2278">
      <c r="B2278" t="inlineStr">
        <is>
          <t>09/30/2025</t>
        </is>
      </c>
      <c r="C2278" t="inlineStr">
        <is>
          <t>Expense</t>
        </is>
      </c>
      <c r="D2278" t="inlineStr"/>
      <c r="E2278" t="inlineStr">
        <is>
          <t>Proseware Payroll</t>
        </is>
      </c>
      <c r="F2278" t="inlineStr">
        <is>
          <t>Payroll 2025-09-30 gross wages</t>
        </is>
      </c>
      <c r="G2278" t="inlineStr">
        <is>
          <t>6000</t>
        </is>
      </c>
      <c r="H2278" t="inlineStr">
        <is>
          <t>Salaries and Wages</t>
        </is>
      </c>
      <c r="I2278" t="inlineStr">
        <is>
          <t>Overhead</t>
        </is>
      </c>
      <c r="J2278">
        <f>22600.00</f>
        <v/>
      </c>
    </row>
    <row r="2279">
      <c r="B2279" t="inlineStr">
        <is>
          <t>09/30/2025</t>
        </is>
      </c>
      <c r="C2279" t="inlineStr">
        <is>
          <t>Expense</t>
        </is>
      </c>
      <c r="D2279" t="inlineStr"/>
      <c r="E2279" t="inlineStr">
        <is>
          <t>Proseware Payroll</t>
        </is>
      </c>
      <c r="F2279" t="inlineStr">
        <is>
          <t>Payroll 2025-09-30 employer taxes</t>
        </is>
      </c>
      <c r="G2279" t="inlineStr">
        <is>
          <t>6010</t>
        </is>
      </c>
      <c r="H2279" t="inlineStr">
        <is>
          <t>Payroll Taxes</t>
        </is>
      </c>
      <c r="I2279" t="inlineStr">
        <is>
          <t>Overhead</t>
        </is>
      </c>
      <c r="J2279">
        <f>1728.90</f>
        <v/>
      </c>
    </row>
    <row r="2280">
      <c r="B2280" t="inlineStr">
        <is>
          <t>09/30/2025</t>
        </is>
      </c>
      <c r="C2280" t="inlineStr">
        <is>
          <t>Expense</t>
        </is>
      </c>
      <c r="D2280" t="inlineStr"/>
      <c r="E2280" t="inlineStr">
        <is>
          <t>Proseware Payroll</t>
        </is>
      </c>
      <c r="F2280" t="inlineStr">
        <is>
          <t>Proseware payroll debit 2025-09-30</t>
        </is>
      </c>
      <c r="G2280" t="inlineStr">
        <is>
          <t>1010</t>
        </is>
      </c>
      <c r="H2280" t="inlineStr">
        <is>
          <t>Northgate Checking 7742</t>
        </is>
      </c>
      <c r="I2280" t="inlineStr">
        <is>
          <t>Overhead</t>
        </is>
      </c>
      <c r="K2280">
        <f>24328.90</f>
        <v/>
      </c>
    </row>
    <row r="2281">
      <c r="A2281" t="inlineStr">
        <is>
          <t>Total for T-00410</t>
        </is>
      </c>
      <c r="J2281">
        <f>J2278+J2279</f>
        <v/>
      </c>
      <c r="K2281">
        <f>K2280</f>
        <v/>
      </c>
    </row>
    <row r="2282"/>
    <row r="2283">
      <c r="A2283" t="inlineStr">
        <is>
          <t>T-00412</t>
        </is>
      </c>
    </row>
    <row r="2284">
      <c r="B2284" t="inlineStr">
        <is>
          <t>09/30/2025</t>
        </is>
      </c>
      <c r="C2284" t="inlineStr">
        <is>
          <t>Deposit</t>
        </is>
      </c>
      <c r="D2284" t="inlineStr"/>
      <c r="E2284" t="inlineStr">
        <is>
          <t>Paylane</t>
        </is>
      </c>
      <c r="F2284" t="inlineStr">
        <is>
          <t>Paylane payout 2025-09 #2</t>
        </is>
      </c>
      <c r="G2284" t="inlineStr">
        <is>
          <t>1010</t>
        </is>
      </c>
      <c r="H2284" t="inlineStr">
        <is>
          <t>Northgate Checking 7742</t>
        </is>
      </c>
      <c r="I2284" t="inlineStr">
        <is>
          <t>Product</t>
        </is>
      </c>
      <c r="J2284">
        <f>16041.78</f>
        <v/>
      </c>
    </row>
    <row r="2285">
      <c r="B2285" t="inlineStr">
        <is>
          <t>09/30/2025</t>
        </is>
      </c>
      <c r="C2285" t="inlineStr">
        <is>
          <t>Deposit</t>
        </is>
      </c>
      <c r="D2285" t="inlineStr"/>
      <c r="E2285" t="inlineStr">
        <is>
          <t>Paylane</t>
        </is>
      </c>
      <c r="F2285" t="inlineStr">
        <is>
          <t>Paylane payout 2025-09 #2</t>
        </is>
      </c>
      <c r="G2285" t="inlineStr">
        <is>
          <t>1200</t>
        </is>
      </c>
      <c r="H2285" t="inlineStr">
        <is>
          <t>Paylane Clearing</t>
        </is>
      </c>
      <c r="I2285" t="inlineStr">
        <is>
          <t>Product</t>
        </is>
      </c>
      <c r="K2285">
        <f>16041.78</f>
        <v/>
      </c>
    </row>
    <row r="2286">
      <c r="A2286" t="inlineStr">
        <is>
          <t>Total for T-00412</t>
        </is>
      </c>
      <c r="J2286">
        <f>J2284</f>
        <v/>
      </c>
      <c r="K2286">
        <f>K2285</f>
        <v/>
      </c>
    </row>
    <row r="2287"/>
    <row r="2288">
      <c r="A2288" t="inlineStr">
        <is>
          <t>T-00452</t>
        </is>
      </c>
    </row>
    <row r="2289">
      <c r="B2289" t="inlineStr">
        <is>
          <t>09/30/2025</t>
        </is>
      </c>
      <c r="C2289" t="inlineStr">
        <is>
          <t>Expense</t>
        </is>
      </c>
      <c r="D2289" t="inlineStr"/>
      <c r="E2289" t="inlineStr">
        <is>
          <t>Northgate Bank</t>
        </is>
      </c>
      <c r="F2289" t="inlineStr">
        <is>
          <t>Account analysis fee 2025-09</t>
        </is>
      </c>
      <c r="G2289" t="inlineStr">
        <is>
          <t>6950</t>
        </is>
      </c>
      <c r="H2289" t="inlineStr">
        <is>
          <t>Bank and Processor Fees</t>
        </is>
      </c>
      <c r="I2289" t="inlineStr">
        <is>
          <t>Overhead</t>
        </is>
      </c>
      <c r="J2289">
        <f>45.00</f>
        <v/>
      </c>
    </row>
    <row r="2290">
      <c r="B2290" t="inlineStr">
        <is>
          <t>09/30/2025</t>
        </is>
      </c>
      <c r="C2290" t="inlineStr">
        <is>
          <t>Expense</t>
        </is>
      </c>
      <c r="D2290" t="inlineStr"/>
      <c r="E2290" t="inlineStr">
        <is>
          <t>Northgate Bank</t>
        </is>
      </c>
      <c r="F2290" t="inlineStr">
        <is>
          <t>Account analysis fee 2025-09</t>
        </is>
      </c>
      <c r="G2290" t="inlineStr">
        <is>
          <t>1010</t>
        </is>
      </c>
      <c r="H2290" t="inlineStr">
        <is>
          <t>Northgate Checking 7742</t>
        </is>
      </c>
      <c r="I2290" t="inlineStr">
        <is>
          <t>Overhead</t>
        </is>
      </c>
      <c r="K2290">
        <f>45.00</f>
        <v/>
      </c>
    </row>
    <row r="2291">
      <c r="A2291" t="inlineStr">
        <is>
          <t>Total for T-00452</t>
        </is>
      </c>
      <c r="J2291">
        <f>J2289</f>
        <v/>
      </c>
      <c r="K2291">
        <f>K2290</f>
        <v/>
      </c>
    </row>
    <row r="2292"/>
    <row r="2293">
      <c r="A2293" t="inlineStr">
        <is>
          <t>T-00453</t>
        </is>
      </c>
    </row>
    <row r="2294">
      <c r="B2294" t="inlineStr">
        <is>
          <t>09/30/2025</t>
        </is>
      </c>
      <c r="C2294" t="inlineStr">
        <is>
          <t>Deposit</t>
        </is>
      </c>
      <c r="D2294" t="inlineStr"/>
      <c r="E2294" t="inlineStr">
        <is>
          <t>Northgate Bank</t>
        </is>
      </c>
      <c r="F2294" t="inlineStr">
        <is>
          <t>Savings interest 2025-09</t>
        </is>
      </c>
      <c r="G2294" t="inlineStr">
        <is>
          <t>1020</t>
        </is>
      </c>
      <c r="H2294" t="inlineStr">
        <is>
          <t>Northgate Savings 7809</t>
        </is>
      </c>
      <c r="I2294" t="inlineStr">
        <is>
          <t>Overhead</t>
        </is>
      </c>
      <c r="J2294">
        <f>18.03</f>
        <v/>
      </c>
    </row>
    <row r="2295">
      <c r="B2295" t="inlineStr">
        <is>
          <t>09/30/2025</t>
        </is>
      </c>
      <c r="C2295" t="inlineStr">
        <is>
          <t>Deposit</t>
        </is>
      </c>
      <c r="D2295" t="inlineStr"/>
      <c r="E2295" t="inlineStr">
        <is>
          <t>Northgate Bank</t>
        </is>
      </c>
      <c r="F2295" t="inlineStr">
        <is>
          <t>Savings interest 2025-09</t>
        </is>
      </c>
      <c r="G2295" t="inlineStr">
        <is>
          <t>4900</t>
        </is>
      </c>
      <c r="H2295" t="inlineStr">
        <is>
          <t>Interest Income</t>
        </is>
      </c>
      <c r="I2295" t="inlineStr">
        <is>
          <t>Overhead</t>
        </is>
      </c>
      <c r="K2295">
        <f>18.03</f>
        <v/>
      </c>
    </row>
    <row r="2296">
      <c r="A2296" t="inlineStr">
        <is>
          <t>Total for T-00453</t>
        </is>
      </c>
      <c r="J2296">
        <f>J2294</f>
        <v/>
      </c>
      <c r="K2296">
        <f>K2295</f>
        <v/>
      </c>
    </row>
    <row r="2297"/>
    <row r="2298">
      <c r="A2298" t="inlineStr">
        <is>
          <t>T-00454</t>
        </is>
      </c>
    </row>
    <row r="2299">
      <c r="B2299" t="inlineStr">
        <is>
          <t>09/30/2025</t>
        </is>
      </c>
      <c r="C2299" t="inlineStr">
        <is>
          <t>Journal Entry</t>
        </is>
      </c>
      <c r="D2299" t="inlineStr">
        <is>
          <t>JE-1036</t>
        </is>
      </c>
      <c r="E2299" t="inlineStr"/>
      <c r="F2299" t="inlineStr">
        <is>
          <t>Depreciation 2025-09</t>
        </is>
      </c>
      <c r="G2299" t="inlineStr">
        <is>
          <t>7000</t>
        </is>
      </c>
      <c r="H2299" t="inlineStr">
        <is>
          <t>Depreciation Expense</t>
        </is>
      </c>
      <c r="I2299" t="inlineStr">
        <is>
          <t>Product</t>
        </is>
      </c>
      <c r="J2299">
        <f>800.00</f>
        <v/>
      </c>
    </row>
    <row r="2300">
      <c r="B2300" t="inlineStr">
        <is>
          <t>09/30/2025</t>
        </is>
      </c>
      <c r="C2300" t="inlineStr">
        <is>
          <t>Journal Entry</t>
        </is>
      </c>
      <c r="D2300" t="inlineStr">
        <is>
          <t>JE-1036</t>
        </is>
      </c>
      <c r="E2300" t="inlineStr"/>
      <c r="F2300" t="inlineStr">
        <is>
          <t>Depreciation 2025-09</t>
        </is>
      </c>
      <c r="G2300" t="inlineStr">
        <is>
          <t>1510</t>
        </is>
      </c>
      <c r="H2300" t="inlineStr">
        <is>
          <t>Accumulated Depreciation</t>
        </is>
      </c>
      <c r="I2300" t="inlineStr">
        <is>
          <t>Product</t>
        </is>
      </c>
      <c r="K2300">
        <f>800.00</f>
        <v/>
      </c>
    </row>
    <row r="2301">
      <c r="A2301" t="inlineStr">
        <is>
          <t>Total for T-00454</t>
        </is>
      </c>
      <c r="J2301">
        <f>J2299</f>
        <v/>
      </c>
      <c r="K2301">
        <f>K2300</f>
        <v/>
      </c>
    </row>
    <row r="2302"/>
    <row r="2303">
      <c r="A2303" t="inlineStr">
        <is>
          <t>T-00455</t>
        </is>
      </c>
    </row>
    <row r="2304">
      <c r="B2304" t="inlineStr">
        <is>
          <t>10/10/2025</t>
        </is>
      </c>
      <c r="C2304" t="inlineStr">
        <is>
          <t>Invoice</t>
        </is>
      </c>
      <c r="D2304" t="inlineStr">
        <is>
          <t>INV-1018</t>
        </is>
      </c>
      <c r="E2304" t="inlineStr">
        <is>
          <t>Helios Manufacturing LLC</t>
        </is>
      </c>
      <c r="F2304" t="inlineStr">
        <is>
          <t>INV-1018 robot cell</t>
        </is>
      </c>
      <c r="G2304" t="inlineStr">
        <is>
          <t>1100</t>
        </is>
      </c>
      <c r="H2304" t="inlineStr">
        <is>
          <t>Accounts Receivable</t>
        </is>
      </c>
      <c r="I2304" t="inlineStr">
        <is>
          <t>Product</t>
        </is>
      </c>
      <c r="J2304">
        <f>46582.55</f>
        <v/>
      </c>
    </row>
    <row r="2305">
      <c r="B2305" t="inlineStr">
        <is>
          <t>10/10/2025</t>
        </is>
      </c>
      <c r="C2305" t="inlineStr">
        <is>
          <t>Invoice</t>
        </is>
      </c>
      <c r="D2305" t="inlineStr">
        <is>
          <t>INV-1018</t>
        </is>
      </c>
      <c r="E2305" t="inlineStr">
        <is>
          <t>Helios Manufacturing LLC</t>
        </is>
      </c>
      <c r="F2305" t="inlineStr">
        <is>
          <t>INV-1018 robot cell</t>
        </is>
      </c>
      <c r="G2305" t="inlineStr">
        <is>
          <t>4000</t>
        </is>
      </c>
      <c r="H2305" t="inlineStr">
        <is>
          <t>Product Revenue</t>
        </is>
      </c>
      <c r="I2305" t="inlineStr">
        <is>
          <t>Product</t>
        </is>
      </c>
      <c r="K2305">
        <f>46582.55</f>
        <v/>
      </c>
    </row>
    <row r="2306">
      <c r="A2306" t="inlineStr">
        <is>
          <t>Total for T-00455</t>
        </is>
      </c>
      <c r="J2306">
        <f>J2304</f>
        <v/>
      </c>
      <c r="K2306">
        <f>K2305</f>
        <v/>
      </c>
    </row>
    <row r="2307"/>
    <row r="2308">
      <c r="A2308" t="inlineStr">
        <is>
          <t>T-00456</t>
        </is>
      </c>
    </row>
    <row r="2309">
      <c r="B2309" t="inlineStr">
        <is>
          <t>10/10/2025</t>
        </is>
      </c>
      <c r="C2309" t="inlineStr">
        <is>
          <t>Invoice</t>
        </is>
      </c>
      <c r="D2309" t="inlineStr">
        <is>
          <t>INV-1019</t>
        </is>
      </c>
      <c r="E2309" t="inlineStr">
        <is>
          <t>Helios Manufacturing LLC</t>
        </is>
      </c>
      <c r="F2309" t="inlineStr">
        <is>
          <t>INV-1019 support plan</t>
        </is>
      </c>
      <c r="G2309" t="inlineStr">
        <is>
          <t>1100</t>
        </is>
      </c>
      <c r="H2309" t="inlineStr">
        <is>
          <t>Accounts Receivable</t>
        </is>
      </c>
      <c r="I2309" t="inlineStr">
        <is>
          <t>Services</t>
        </is>
      </c>
      <c r="J2309">
        <f>8750.00</f>
        <v/>
      </c>
    </row>
    <row r="2310">
      <c r="B2310" t="inlineStr">
        <is>
          <t>10/10/2025</t>
        </is>
      </c>
      <c r="C2310" t="inlineStr">
        <is>
          <t>Invoice</t>
        </is>
      </c>
      <c r="D2310" t="inlineStr">
        <is>
          <t>INV-1019</t>
        </is>
      </c>
      <c r="E2310" t="inlineStr">
        <is>
          <t>Helios Manufacturing LLC</t>
        </is>
      </c>
      <c r="F2310" t="inlineStr">
        <is>
          <t>INV-1019 support plan</t>
        </is>
      </c>
      <c r="G2310" t="inlineStr">
        <is>
          <t>4100</t>
        </is>
      </c>
      <c r="H2310" t="inlineStr">
        <is>
          <t>Service Revenue</t>
        </is>
      </c>
      <c r="I2310" t="inlineStr">
        <is>
          <t>Services</t>
        </is>
      </c>
      <c r="K2310">
        <f>8750.00</f>
        <v/>
      </c>
    </row>
    <row r="2311">
      <c r="A2311" t="inlineStr">
        <is>
          <t>Total for T-00456</t>
        </is>
      </c>
      <c r="J2311">
        <f>J2309</f>
        <v/>
      </c>
      <c r="K2311">
        <f>K2310</f>
        <v/>
      </c>
    </row>
    <row r="2312"/>
    <row r="2313">
      <c r="A2313" t="inlineStr">
        <is>
          <t>T-00458</t>
        </is>
      </c>
    </row>
    <row r="2314">
      <c r="B2314" t="inlineStr">
        <is>
          <t>10/15/2025</t>
        </is>
      </c>
      <c r="C2314" t="inlineStr">
        <is>
          <t>Journal Entry</t>
        </is>
      </c>
      <c r="D2314" t="inlineStr">
        <is>
          <t>JE-1037</t>
        </is>
      </c>
      <c r="E2314" t="inlineStr">
        <is>
          <t>Proseware Payroll</t>
        </is>
      </c>
      <c r="F2314" t="inlineStr">
        <is>
          <t>Payroll 2025-10-15 gross wages</t>
        </is>
      </c>
      <c r="G2314" t="inlineStr">
        <is>
          <t>6000</t>
        </is>
      </c>
      <c r="H2314" t="inlineStr">
        <is>
          <t>Salaries and Wages</t>
        </is>
      </c>
      <c r="I2314" t="inlineStr">
        <is>
          <t>Overhead</t>
        </is>
      </c>
      <c r="J2314">
        <f>23050.00</f>
        <v/>
      </c>
    </row>
    <row r="2315">
      <c r="B2315" t="inlineStr">
        <is>
          <t>10/15/2025</t>
        </is>
      </c>
      <c r="C2315" t="inlineStr">
        <is>
          <t>Journal Entry</t>
        </is>
      </c>
      <c r="D2315" t="inlineStr">
        <is>
          <t>JE-1037</t>
        </is>
      </c>
      <c r="E2315" t="inlineStr">
        <is>
          <t>Proseware Payroll</t>
        </is>
      </c>
      <c r="F2315" t="inlineStr">
        <is>
          <t>Payroll 2025-10-15 employer taxes</t>
        </is>
      </c>
      <c r="G2315" t="inlineStr">
        <is>
          <t>6010</t>
        </is>
      </c>
      <c r="H2315" t="inlineStr">
        <is>
          <t>Payroll Taxes</t>
        </is>
      </c>
      <c r="I2315" t="inlineStr">
        <is>
          <t>Overhead</t>
        </is>
      </c>
      <c r="J2315">
        <f>1763.32</f>
        <v/>
      </c>
    </row>
    <row r="2316">
      <c r="B2316" t="inlineStr">
        <is>
          <t>10/15/2025</t>
        </is>
      </c>
      <c r="C2316" t="inlineStr">
        <is>
          <t>Journal Entry</t>
        </is>
      </c>
      <c r="D2316" t="inlineStr">
        <is>
          <t>JE-1037</t>
        </is>
      </c>
      <c r="E2316" t="inlineStr">
        <is>
          <t>Proseware Payroll</t>
        </is>
      </c>
      <c r="F2316" t="inlineStr">
        <is>
          <t>Proseware payroll debit 2025-10-15</t>
        </is>
      </c>
      <c r="G2316" t="inlineStr">
        <is>
          <t>1010</t>
        </is>
      </c>
      <c r="H2316" t="inlineStr">
        <is>
          <t>Northgate Checking 7742</t>
        </is>
      </c>
      <c r="I2316" t="inlineStr">
        <is>
          <t>Overhead</t>
        </is>
      </c>
      <c r="K2316">
        <f>24813.32</f>
        <v/>
      </c>
    </row>
    <row r="2317">
      <c r="A2317" t="inlineStr">
        <is>
          <t>Total for T-00458</t>
        </is>
      </c>
      <c r="J2317">
        <f>J2314+J2315</f>
        <v/>
      </c>
      <c r="K2317">
        <f>K2316</f>
        <v/>
      </c>
    </row>
    <row r="2318"/>
    <row r="2319">
      <c r="A2319" t="inlineStr">
        <is>
          <t>T-00460</t>
        </is>
      </c>
    </row>
    <row r="2320">
      <c r="B2320" t="inlineStr">
        <is>
          <t>10/15/2025</t>
        </is>
      </c>
      <c r="C2320" t="inlineStr">
        <is>
          <t>Journal Entry</t>
        </is>
      </c>
      <c r="D2320" t="inlineStr">
        <is>
          <t>JE-1039</t>
        </is>
      </c>
      <c r="E2320" t="inlineStr">
        <is>
          <t>Paylane</t>
        </is>
      </c>
      <c r="F2320" t="inlineStr">
        <is>
          <t>Paylane payout 2025-10 #1</t>
        </is>
      </c>
      <c r="G2320" t="inlineStr">
        <is>
          <t>1010</t>
        </is>
      </c>
      <c r="H2320" t="inlineStr">
        <is>
          <t>Northgate Checking 7742</t>
        </is>
      </c>
      <c r="I2320" t="inlineStr">
        <is>
          <t>Product</t>
        </is>
      </c>
      <c r="J2320">
        <f>19951.27</f>
        <v/>
      </c>
    </row>
    <row r="2321">
      <c r="B2321" t="inlineStr">
        <is>
          <t>10/15/2025</t>
        </is>
      </c>
      <c r="C2321" t="inlineStr">
        <is>
          <t>Journal Entry</t>
        </is>
      </c>
      <c r="D2321" t="inlineStr">
        <is>
          <t>JE-1039</t>
        </is>
      </c>
      <c r="E2321" t="inlineStr">
        <is>
          <t>Paylane</t>
        </is>
      </c>
      <c r="F2321" t="inlineStr">
        <is>
          <t>Paylane payout 2025-10 #1</t>
        </is>
      </c>
      <c r="G2321" t="inlineStr">
        <is>
          <t>1200</t>
        </is>
      </c>
      <c r="H2321" t="inlineStr">
        <is>
          <t>Paylane Clearing</t>
        </is>
      </c>
      <c r="I2321" t="inlineStr">
        <is>
          <t>Product</t>
        </is>
      </c>
      <c r="K2321">
        <f>19951.27</f>
        <v/>
      </c>
    </row>
    <row r="2322">
      <c r="A2322" t="inlineStr">
        <is>
          <t>Total for T-00460</t>
        </is>
      </c>
      <c r="J2322">
        <f>J2320</f>
        <v/>
      </c>
      <c r="K2322">
        <f>K2321</f>
        <v/>
      </c>
    </row>
    <row r="2323"/>
    <row r="2324">
      <c r="A2324" t="inlineStr">
        <is>
          <t>T-00457</t>
        </is>
      </c>
    </row>
    <row r="2325">
      <c r="B2325" t="inlineStr">
        <is>
          <t>10/20/2025</t>
        </is>
      </c>
      <c r="C2325" t="inlineStr">
        <is>
          <t>Bill</t>
        </is>
      </c>
      <c r="D2325" t="inlineStr">
        <is>
          <t>NWS-4409</t>
        </is>
      </c>
      <c r="E2325" t="inlineStr">
        <is>
          <t>Northwind Supply</t>
        </is>
      </c>
      <c r="F2325" t="inlineStr">
        <is>
          <t>NWS-4409 components</t>
        </is>
      </c>
      <c r="G2325" t="inlineStr">
        <is>
          <t>5000</t>
        </is>
      </c>
      <c r="H2325" t="inlineStr">
        <is>
          <t>Cost of Goods Sold - Components</t>
        </is>
      </c>
      <c r="I2325" t="inlineStr">
        <is>
          <t>Product</t>
        </is>
      </c>
      <c r="J2325">
        <f>14771.05</f>
        <v/>
      </c>
    </row>
    <row r="2326">
      <c r="B2326" t="inlineStr">
        <is>
          <t>10/20/2025</t>
        </is>
      </c>
      <c r="C2326" t="inlineStr">
        <is>
          <t>Bill</t>
        </is>
      </c>
      <c r="D2326" t="inlineStr">
        <is>
          <t>NWS-4409</t>
        </is>
      </c>
      <c r="E2326" t="inlineStr">
        <is>
          <t>Northwind Supply</t>
        </is>
      </c>
      <c r="F2326" t="inlineStr">
        <is>
          <t>NWS-4409 components</t>
        </is>
      </c>
      <c r="G2326" t="inlineStr">
        <is>
          <t>2010</t>
        </is>
      </c>
      <c r="H2326" t="inlineStr">
        <is>
          <t>Accounts Payable</t>
        </is>
      </c>
      <c r="I2326" t="inlineStr">
        <is>
          <t>Product</t>
        </is>
      </c>
      <c r="K2326">
        <f>14771.05</f>
        <v/>
      </c>
    </row>
    <row r="2327">
      <c r="A2327" t="inlineStr">
        <is>
          <t>Total for T-00457</t>
        </is>
      </c>
      <c r="J2327">
        <f>J2325</f>
        <v/>
      </c>
      <c r="K2327">
        <f>K2326</f>
        <v/>
      </c>
    </row>
    <row r="2328"/>
    <row r="2329">
      <c r="A2329" t="inlineStr">
        <is>
          <t>T-00459</t>
        </is>
      </c>
    </row>
    <row r="2330">
      <c r="B2330" t="inlineStr">
        <is>
          <t>10/31/2025</t>
        </is>
      </c>
      <c r="C2330" t="inlineStr">
        <is>
          <t>Journal Entry</t>
        </is>
      </c>
      <c r="D2330" t="inlineStr">
        <is>
          <t>JE-1038</t>
        </is>
      </c>
      <c r="E2330" t="inlineStr">
        <is>
          <t>Proseware Payroll</t>
        </is>
      </c>
      <c r="F2330" t="inlineStr">
        <is>
          <t>Payroll 2025-10-31 gross wages</t>
        </is>
      </c>
      <c r="G2330" t="inlineStr">
        <is>
          <t>6000</t>
        </is>
      </c>
      <c r="H2330" t="inlineStr">
        <is>
          <t>Salaries and Wages</t>
        </is>
      </c>
      <c r="I2330" t="inlineStr">
        <is>
          <t>Overhead</t>
        </is>
      </c>
      <c r="J2330">
        <f>23050.00</f>
        <v/>
      </c>
    </row>
    <row r="2331">
      <c r="B2331" t="inlineStr">
        <is>
          <t>10/31/2025</t>
        </is>
      </c>
      <c r="C2331" t="inlineStr">
        <is>
          <t>Journal Entry</t>
        </is>
      </c>
      <c r="D2331" t="inlineStr">
        <is>
          <t>JE-1038</t>
        </is>
      </c>
      <c r="E2331" t="inlineStr">
        <is>
          <t>Proseware Payroll</t>
        </is>
      </c>
      <c r="F2331" t="inlineStr">
        <is>
          <t>Payroll 2025-10-31 employer taxes</t>
        </is>
      </c>
      <c r="G2331" t="inlineStr">
        <is>
          <t>6010</t>
        </is>
      </c>
      <c r="H2331" t="inlineStr">
        <is>
          <t>Payroll Taxes</t>
        </is>
      </c>
      <c r="I2331" t="inlineStr">
        <is>
          <t>Overhead</t>
        </is>
      </c>
      <c r="J2331">
        <f>1763.32</f>
        <v/>
      </c>
    </row>
    <row r="2332">
      <c r="B2332" t="inlineStr">
        <is>
          <t>10/31/2025</t>
        </is>
      </c>
      <c r="C2332" t="inlineStr">
        <is>
          <t>Journal Entry</t>
        </is>
      </c>
      <c r="D2332" t="inlineStr">
        <is>
          <t>JE-1038</t>
        </is>
      </c>
      <c r="E2332" t="inlineStr">
        <is>
          <t>Proseware Payroll</t>
        </is>
      </c>
      <c r="F2332" t="inlineStr">
        <is>
          <t>Proseware payroll debit 2025-10-31</t>
        </is>
      </c>
      <c r="G2332" t="inlineStr">
        <is>
          <t>1010</t>
        </is>
      </c>
      <c r="H2332" t="inlineStr">
        <is>
          <t>Northgate Checking 7742</t>
        </is>
      </c>
      <c r="I2332" t="inlineStr">
        <is>
          <t>Overhead</t>
        </is>
      </c>
      <c r="K2332">
        <f>24813.32</f>
        <v/>
      </c>
    </row>
    <row r="2333">
      <c r="A2333" t="inlineStr">
        <is>
          <t>Total for T-00459</t>
        </is>
      </c>
      <c r="J2333">
        <f>J2330+J2331</f>
        <v/>
      </c>
      <c r="K2333">
        <f>K2332</f>
        <v/>
      </c>
    </row>
    <row r="2334"/>
    <row r="2335">
      <c r="A2335" t="inlineStr">
        <is>
          <t>T-00461</t>
        </is>
      </c>
    </row>
    <row r="2336">
      <c r="B2336" t="inlineStr">
        <is>
          <t>10/31/2025</t>
        </is>
      </c>
      <c r="C2336" t="inlineStr">
        <is>
          <t>Journal Entry</t>
        </is>
      </c>
      <c r="D2336" t="inlineStr">
        <is>
          <t>JE-1040</t>
        </is>
      </c>
      <c r="E2336" t="inlineStr">
        <is>
          <t>Paylane</t>
        </is>
      </c>
      <c r="F2336" t="inlineStr">
        <is>
          <t>Paylane payout 2025-10 #2</t>
        </is>
      </c>
      <c r="G2336" t="inlineStr">
        <is>
          <t>1010</t>
        </is>
      </c>
      <c r="H2336" t="inlineStr">
        <is>
          <t>Northgate Checking 7742</t>
        </is>
      </c>
      <c r="I2336" t="inlineStr">
        <is>
          <t>Product</t>
        </is>
      </c>
      <c r="J2336">
        <f>16323.76</f>
        <v/>
      </c>
    </row>
    <row r="2337">
      <c r="B2337" t="inlineStr">
        <is>
          <t>10/31/2025</t>
        </is>
      </c>
      <c r="C2337" t="inlineStr">
        <is>
          <t>Journal Entry</t>
        </is>
      </c>
      <c r="D2337" t="inlineStr">
        <is>
          <t>JE-1040</t>
        </is>
      </c>
      <c r="E2337" t="inlineStr">
        <is>
          <t>Paylane</t>
        </is>
      </c>
      <c r="F2337" t="inlineStr">
        <is>
          <t>Paylane payout 2025-10 #2</t>
        </is>
      </c>
      <c r="G2337" t="inlineStr">
        <is>
          <t>1200</t>
        </is>
      </c>
      <c r="H2337" t="inlineStr">
        <is>
          <t>Paylane Clearing</t>
        </is>
      </c>
      <c r="I2337" t="inlineStr">
        <is>
          <t>Product</t>
        </is>
      </c>
      <c r="K2337">
        <f>16323.76</f>
        <v/>
      </c>
    </row>
    <row r="2338">
      <c r="A2338" t="inlineStr">
        <is>
          <t>Total for T-00461</t>
        </is>
      </c>
      <c r="J2338">
        <f>J2336</f>
        <v/>
      </c>
      <c r="K2338">
        <f>K2337</f>
        <v/>
      </c>
    </row>
    <row r="2339"/>
    <row r="2340">
      <c r="A2340" t="inlineStr">
        <is>
          <t>T-00462</t>
        </is>
      </c>
    </row>
    <row r="2341">
      <c r="B2341" t="inlineStr">
        <is>
          <t>10/31/2025</t>
        </is>
      </c>
      <c r="C2341" t="inlineStr">
        <is>
          <t>Journal Entry</t>
        </is>
      </c>
      <c r="D2341" t="inlineStr">
        <is>
          <t>JE-1041</t>
        </is>
      </c>
      <c r="E2341" t="inlineStr"/>
      <c r="F2341" t="inlineStr">
        <is>
          <t>Depreciation 2025-10</t>
        </is>
      </c>
      <c r="G2341" t="inlineStr">
        <is>
          <t>7000</t>
        </is>
      </c>
      <c r="H2341" t="inlineStr">
        <is>
          <t>Depreciation Expense</t>
        </is>
      </c>
      <c r="I2341" t="inlineStr">
        <is>
          <t>Product</t>
        </is>
      </c>
      <c r="J2341">
        <f>800.00</f>
        <v/>
      </c>
    </row>
    <row r="2342">
      <c r="B2342" t="inlineStr">
        <is>
          <t>10/31/2025</t>
        </is>
      </c>
      <c r="C2342" t="inlineStr">
        <is>
          <t>Journal Entry</t>
        </is>
      </c>
      <c r="D2342" t="inlineStr">
        <is>
          <t>JE-1041</t>
        </is>
      </c>
      <c r="E2342" t="inlineStr"/>
      <c r="F2342" t="inlineStr">
        <is>
          <t>Depreciation 2025-10</t>
        </is>
      </c>
      <c r="G2342" t="inlineStr">
        <is>
          <t>1510</t>
        </is>
      </c>
      <c r="H2342" t="inlineStr">
        <is>
          <t>Accumulated Depreciation</t>
        </is>
      </c>
      <c r="I2342" t="inlineStr">
        <is>
          <t>Product</t>
        </is>
      </c>
      <c r="K2342">
        <f>800.00</f>
        <v/>
      </c>
    </row>
    <row r="2343">
      <c r="A2343" t="inlineStr">
        <is>
          <t>Total for T-00462</t>
        </is>
      </c>
      <c r="J2343">
        <f>J2341</f>
        <v/>
      </c>
      <c r="K2343">
        <f>K2342</f>
        <v/>
      </c>
    </row>
    <row r="2344"/>
    <row r="2345">
      <c r="A2345" t="inlineStr">
        <is>
          <t>T-00463</t>
        </is>
      </c>
    </row>
    <row r="2346">
      <c r="B2346" t="inlineStr">
        <is>
          <t>11/10/2025</t>
        </is>
      </c>
      <c r="C2346" t="inlineStr">
        <is>
          <t>Invoice</t>
        </is>
      </c>
      <c r="D2346" t="inlineStr">
        <is>
          <t>INV-1020</t>
        </is>
      </c>
      <c r="E2346" t="inlineStr">
        <is>
          <t>Meridian Automation Co</t>
        </is>
      </c>
      <c r="F2346" t="inlineStr">
        <is>
          <t>INV-1020 robot cell</t>
        </is>
      </c>
      <c r="G2346" t="inlineStr">
        <is>
          <t>1100</t>
        </is>
      </c>
      <c r="H2346" t="inlineStr">
        <is>
          <t>Accounts Receivable</t>
        </is>
      </c>
      <c r="I2346" t="inlineStr">
        <is>
          <t>Product</t>
        </is>
      </c>
      <c r="J2346">
        <f>49219.43</f>
        <v/>
      </c>
    </row>
    <row r="2347">
      <c r="B2347" t="inlineStr">
        <is>
          <t>11/10/2025</t>
        </is>
      </c>
      <c r="C2347" t="inlineStr">
        <is>
          <t>Invoice</t>
        </is>
      </c>
      <c r="D2347" t="inlineStr">
        <is>
          <t>INV-1020</t>
        </is>
      </c>
      <c r="E2347" t="inlineStr">
        <is>
          <t>Meridian Automation Co</t>
        </is>
      </c>
      <c r="F2347" t="inlineStr">
        <is>
          <t>INV-1020 robot cell</t>
        </is>
      </c>
      <c r="G2347" t="inlineStr">
        <is>
          <t>4000</t>
        </is>
      </c>
      <c r="H2347" t="inlineStr">
        <is>
          <t>Product Revenue</t>
        </is>
      </c>
      <c r="I2347" t="inlineStr">
        <is>
          <t>Product</t>
        </is>
      </c>
      <c r="K2347">
        <f>49219.43</f>
        <v/>
      </c>
    </row>
    <row r="2348">
      <c r="A2348" t="inlineStr">
        <is>
          <t>Total for T-00463</t>
        </is>
      </c>
      <c r="J2348">
        <f>J2346</f>
        <v/>
      </c>
      <c r="K2348">
        <f>K2347</f>
        <v/>
      </c>
    </row>
    <row r="2349"/>
    <row r="2350">
      <c r="A2350" t="inlineStr">
        <is>
          <t>T-00464</t>
        </is>
      </c>
    </row>
    <row r="2351">
      <c r="B2351" t="inlineStr">
        <is>
          <t>11/10/2025</t>
        </is>
      </c>
      <c r="C2351" t="inlineStr">
        <is>
          <t>Invoice</t>
        </is>
      </c>
      <c r="D2351" t="inlineStr">
        <is>
          <t>INV-1021</t>
        </is>
      </c>
      <c r="E2351" t="inlineStr">
        <is>
          <t>Meridian Automation Co</t>
        </is>
      </c>
      <c r="F2351" t="inlineStr">
        <is>
          <t>INV-1021 support plan</t>
        </is>
      </c>
      <c r="G2351" t="inlineStr">
        <is>
          <t>1100</t>
        </is>
      </c>
      <c r="H2351" t="inlineStr">
        <is>
          <t>Accounts Receivable</t>
        </is>
      </c>
      <c r="I2351" t="inlineStr">
        <is>
          <t>Services</t>
        </is>
      </c>
      <c r="J2351">
        <f>9000.00</f>
        <v/>
      </c>
    </row>
    <row r="2352">
      <c r="B2352" t="inlineStr">
        <is>
          <t>11/10/2025</t>
        </is>
      </c>
      <c r="C2352" t="inlineStr">
        <is>
          <t>Invoice</t>
        </is>
      </c>
      <c r="D2352" t="inlineStr">
        <is>
          <t>INV-1021</t>
        </is>
      </c>
      <c r="E2352" t="inlineStr">
        <is>
          <t>Meridian Automation Co</t>
        </is>
      </c>
      <c r="F2352" t="inlineStr">
        <is>
          <t>INV-1021 support plan</t>
        </is>
      </c>
      <c r="G2352" t="inlineStr">
        <is>
          <t>4100</t>
        </is>
      </c>
      <c r="H2352" t="inlineStr">
        <is>
          <t>Service Revenue</t>
        </is>
      </c>
      <c r="I2352" t="inlineStr">
        <is>
          <t>Services</t>
        </is>
      </c>
      <c r="K2352">
        <f>9000.00</f>
        <v/>
      </c>
    </row>
    <row r="2353">
      <c r="A2353" t="inlineStr">
        <is>
          <t>Total for T-00464</t>
        </is>
      </c>
      <c r="J2353">
        <f>J2351</f>
        <v/>
      </c>
      <c r="K2353">
        <f>K2352</f>
        <v/>
      </c>
    </row>
    <row r="2354"/>
    <row r="2355">
      <c r="A2355" t="inlineStr">
        <is>
          <t>T-00466</t>
        </is>
      </c>
    </row>
    <row r="2356">
      <c r="B2356" t="inlineStr">
        <is>
          <t>11/15/2025</t>
        </is>
      </c>
      <c r="C2356" t="inlineStr">
        <is>
          <t>Journal Entry</t>
        </is>
      </c>
      <c r="D2356" t="inlineStr">
        <is>
          <t>JE-1042</t>
        </is>
      </c>
      <c r="E2356" t="inlineStr">
        <is>
          <t>Proseware Payroll</t>
        </is>
      </c>
      <c r="F2356" t="inlineStr">
        <is>
          <t>Payroll 2025-11-15 gross wages</t>
        </is>
      </c>
      <c r="G2356" t="inlineStr">
        <is>
          <t>6000</t>
        </is>
      </c>
      <c r="H2356" t="inlineStr">
        <is>
          <t>Salaries and Wages</t>
        </is>
      </c>
      <c r="I2356" t="inlineStr">
        <is>
          <t>Overhead</t>
        </is>
      </c>
      <c r="J2356">
        <f>23500.00</f>
        <v/>
      </c>
    </row>
    <row r="2357">
      <c r="B2357" t="inlineStr">
        <is>
          <t>11/15/2025</t>
        </is>
      </c>
      <c r="C2357" t="inlineStr">
        <is>
          <t>Journal Entry</t>
        </is>
      </c>
      <c r="D2357" t="inlineStr">
        <is>
          <t>JE-1042</t>
        </is>
      </c>
      <c r="E2357" t="inlineStr">
        <is>
          <t>Proseware Payroll</t>
        </is>
      </c>
      <c r="F2357" t="inlineStr">
        <is>
          <t>Payroll 2025-11-15 employer taxes</t>
        </is>
      </c>
      <c r="G2357" t="inlineStr">
        <is>
          <t>6010</t>
        </is>
      </c>
      <c r="H2357" t="inlineStr">
        <is>
          <t>Payroll Taxes</t>
        </is>
      </c>
      <c r="I2357" t="inlineStr">
        <is>
          <t>Overhead</t>
        </is>
      </c>
      <c r="J2357">
        <f>1797.75</f>
        <v/>
      </c>
    </row>
    <row r="2358">
      <c r="B2358" t="inlineStr">
        <is>
          <t>11/15/2025</t>
        </is>
      </c>
      <c r="C2358" t="inlineStr">
        <is>
          <t>Journal Entry</t>
        </is>
      </c>
      <c r="D2358" t="inlineStr">
        <is>
          <t>JE-1042</t>
        </is>
      </c>
      <c r="E2358" t="inlineStr">
        <is>
          <t>Proseware Payroll</t>
        </is>
      </c>
      <c r="F2358" t="inlineStr">
        <is>
          <t>Proseware payroll debit 2025-11-15</t>
        </is>
      </c>
      <c r="G2358" t="inlineStr">
        <is>
          <t>1010</t>
        </is>
      </c>
      <c r="H2358" t="inlineStr">
        <is>
          <t>Northgate Checking 7742</t>
        </is>
      </c>
      <c r="I2358" t="inlineStr">
        <is>
          <t>Overhead</t>
        </is>
      </c>
      <c r="K2358">
        <f>25297.75</f>
        <v/>
      </c>
    </row>
    <row r="2359">
      <c r="A2359" t="inlineStr">
        <is>
          <t>Total for T-00466</t>
        </is>
      </c>
      <c r="J2359">
        <f>J2356+J2357</f>
        <v/>
      </c>
      <c r="K2359">
        <f>K2358</f>
        <v/>
      </c>
    </row>
    <row r="2360"/>
    <row r="2361">
      <c r="A2361" t="inlineStr">
        <is>
          <t>T-00468</t>
        </is>
      </c>
    </row>
    <row r="2362">
      <c r="B2362" t="inlineStr">
        <is>
          <t>11/15/2025</t>
        </is>
      </c>
      <c r="C2362" t="inlineStr">
        <is>
          <t>Journal Entry</t>
        </is>
      </c>
      <c r="D2362" t="inlineStr">
        <is>
          <t>JE-1044</t>
        </is>
      </c>
      <c r="E2362" t="inlineStr">
        <is>
          <t>Paylane</t>
        </is>
      </c>
      <c r="F2362" t="inlineStr">
        <is>
          <t>Paylane payout 2025-11 #1</t>
        </is>
      </c>
      <c r="G2362" t="inlineStr">
        <is>
          <t>1010</t>
        </is>
      </c>
      <c r="H2362" t="inlineStr">
        <is>
          <t>Northgate Checking 7742</t>
        </is>
      </c>
      <c r="I2362" t="inlineStr">
        <is>
          <t>Product</t>
        </is>
      </c>
      <c r="J2362">
        <f>20726.47</f>
        <v/>
      </c>
    </row>
    <row r="2363">
      <c r="B2363" t="inlineStr">
        <is>
          <t>11/15/2025</t>
        </is>
      </c>
      <c r="C2363" t="inlineStr">
        <is>
          <t>Journal Entry</t>
        </is>
      </c>
      <c r="D2363" t="inlineStr">
        <is>
          <t>JE-1044</t>
        </is>
      </c>
      <c r="E2363" t="inlineStr">
        <is>
          <t>Paylane</t>
        </is>
      </c>
      <c r="F2363" t="inlineStr">
        <is>
          <t>Paylane payout 2025-11 #1</t>
        </is>
      </c>
      <c r="G2363" t="inlineStr">
        <is>
          <t>1200</t>
        </is>
      </c>
      <c r="H2363" t="inlineStr">
        <is>
          <t>Paylane Clearing</t>
        </is>
      </c>
      <c r="I2363" t="inlineStr">
        <is>
          <t>Product</t>
        </is>
      </c>
      <c r="K2363">
        <f>20726.47</f>
        <v/>
      </c>
    </row>
    <row r="2364">
      <c r="A2364" t="inlineStr">
        <is>
          <t>Total for T-00468</t>
        </is>
      </c>
      <c r="J2364">
        <f>J2362</f>
        <v/>
      </c>
      <c r="K2364">
        <f>K2363</f>
        <v/>
      </c>
    </row>
    <row r="2365"/>
    <row r="2366">
      <c r="A2366" t="inlineStr">
        <is>
          <t>T-00465</t>
        </is>
      </c>
    </row>
    <row r="2367">
      <c r="B2367" t="inlineStr">
        <is>
          <t>11/20/2025</t>
        </is>
      </c>
      <c r="C2367" t="inlineStr">
        <is>
          <t>Bill</t>
        </is>
      </c>
      <c r="D2367" t="inlineStr">
        <is>
          <t>NWS-4410</t>
        </is>
      </c>
      <c r="E2367" t="inlineStr">
        <is>
          <t>Northwind Supply</t>
        </is>
      </c>
      <c r="F2367" t="inlineStr">
        <is>
          <t>NWS-4410 components</t>
        </is>
      </c>
      <c r="G2367" t="inlineStr">
        <is>
          <t>5000</t>
        </is>
      </c>
      <c r="H2367" t="inlineStr">
        <is>
          <t>Cost of Goods Sold - Components</t>
        </is>
      </c>
      <c r="I2367" t="inlineStr">
        <is>
          <t>Product</t>
        </is>
      </c>
      <c r="J2367">
        <f>15288.41</f>
        <v/>
      </c>
    </row>
    <row r="2368">
      <c r="B2368" t="inlineStr">
        <is>
          <t>11/20/2025</t>
        </is>
      </c>
      <c r="C2368" t="inlineStr">
        <is>
          <t>Bill</t>
        </is>
      </c>
      <c r="D2368" t="inlineStr">
        <is>
          <t>NWS-4410</t>
        </is>
      </c>
      <c r="E2368" t="inlineStr">
        <is>
          <t>Northwind Supply</t>
        </is>
      </c>
      <c r="F2368" t="inlineStr">
        <is>
          <t>NWS-4410 components</t>
        </is>
      </c>
      <c r="G2368" t="inlineStr">
        <is>
          <t>2010</t>
        </is>
      </c>
      <c r="H2368" t="inlineStr">
        <is>
          <t>Accounts Payable</t>
        </is>
      </c>
      <c r="I2368" t="inlineStr">
        <is>
          <t>Product</t>
        </is>
      </c>
      <c r="K2368">
        <f>15288.41</f>
        <v/>
      </c>
    </row>
    <row r="2369">
      <c r="A2369" t="inlineStr">
        <is>
          <t>Total for T-00465</t>
        </is>
      </c>
      <c r="J2369">
        <f>J2367</f>
        <v/>
      </c>
      <c r="K2369">
        <f>K2368</f>
        <v/>
      </c>
    </row>
    <row r="2370"/>
    <row r="2371">
      <c r="A2371" t="inlineStr">
        <is>
          <t>T-00467</t>
        </is>
      </c>
    </row>
    <row r="2372">
      <c r="B2372" t="inlineStr">
        <is>
          <t>11/30/2025</t>
        </is>
      </c>
      <c r="C2372" t="inlineStr">
        <is>
          <t>Journal Entry</t>
        </is>
      </c>
      <c r="D2372" t="inlineStr">
        <is>
          <t>JE-1043</t>
        </is>
      </c>
      <c r="E2372" t="inlineStr">
        <is>
          <t>Proseware Payroll</t>
        </is>
      </c>
      <c r="F2372" t="inlineStr">
        <is>
          <t>Payroll 2025-11-30 gross wages</t>
        </is>
      </c>
      <c r="G2372" t="inlineStr">
        <is>
          <t>6000</t>
        </is>
      </c>
      <c r="H2372" t="inlineStr">
        <is>
          <t>Salaries and Wages</t>
        </is>
      </c>
      <c r="I2372" t="inlineStr">
        <is>
          <t>Overhead</t>
        </is>
      </c>
      <c r="J2372">
        <f>23500.00</f>
        <v/>
      </c>
    </row>
    <row r="2373">
      <c r="B2373" t="inlineStr">
        <is>
          <t>11/30/2025</t>
        </is>
      </c>
      <c r="C2373" t="inlineStr">
        <is>
          <t>Journal Entry</t>
        </is>
      </c>
      <c r="D2373" t="inlineStr">
        <is>
          <t>JE-1043</t>
        </is>
      </c>
      <c r="E2373" t="inlineStr">
        <is>
          <t>Proseware Payroll</t>
        </is>
      </c>
      <c r="F2373" t="inlineStr">
        <is>
          <t>Payroll 2025-11-30 employer taxes</t>
        </is>
      </c>
      <c r="G2373" t="inlineStr">
        <is>
          <t>6010</t>
        </is>
      </c>
      <c r="H2373" t="inlineStr">
        <is>
          <t>Payroll Taxes</t>
        </is>
      </c>
      <c r="I2373" t="inlineStr">
        <is>
          <t>Overhead</t>
        </is>
      </c>
      <c r="J2373">
        <f>1797.75</f>
        <v/>
      </c>
    </row>
    <row r="2374">
      <c r="B2374" t="inlineStr">
        <is>
          <t>11/30/2025</t>
        </is>
      </c>
      <c r="C2374" t="inlineStr">
        <is>
          <t>Journal Entry</t>
        </is>
      </c>
      <c r="D2374" t="inlineStr">
        <is>
          <t>JE-1043</t>
        </is>
      </c>
      <c r="E2374" t="inlineStr">
        <is>
          <t>Proseware Payroll</t>
        </is>
      </c>
      <c r="F2374" t="inlineStr">
        <is>
          <t>Proseware payroll debit 2025-11-30</t>
        </is>
      </c>
      <c r="G2374" t="inlineStr">
        <is>
          <t>1010</t>
        </is>
      </c>
      <c r="H2374" t="inlineStr">
        <is>
          <t>Northgate Checking 7742</t>
        </is>
      </c>
      <c r="I2374" t="inlineStr">
        <is>
          <t>Overhead</t>
        </is>
      </c>
      <c r="K2374">
        <f>25297.75</f>
        <v/>
      </c>
    </row>
    <row r="2375">
      <c r="A2375" t="inlineStr">
        <is>
          <t>Total for T-00467</t>
        </is>
      </c>
      <c r="J2375">
        <f>J2372+J2373</f>
        <v/>
      </c>
      <c r="K2375">
        <f>K2374</f>
        <v/>
      </c>
    </row>
    <row r="2376"/>
    <row r="2377">
      <c r="A2377" t="inlineStr">
        <is>
          <t>T-00469</t>
        </is>
      </c>
    </row>
    <row r="2378">
      <c r="B2378" t="inlineStr">
        <is>
          <t>11/30/2025</t>
        </is>
      </c>
      <c r="C2378" t="inlineStr">
        <is>
          <t>Journal Entry</t>
        </is>
      </c>
      <c r="D2378" t="inlineStr">
        <is>
          <t>JE-1045</t>
        </is>
      </c>
      <c r="E2378" t="inlineStr">
        <is>
          <t>Paylane</t>
        </is>
      </c>
      <c r="F2378" t="inlineStr">
        <is>
          <t>Paylane payout 2025-11 #2</t>
        </is>
      </c>
      <c r="G2378" t="inlineStr">
        <is>
          <t>1010</t>
        </is>
      </c>
      <c r="H2378" t="inlineStr">
        <is>
          <t>Northgate Checking 7742</t>
        </is>
      </c>
      <c r="I2378" t="inlineStr">
        <is>
          <t>Product</t>
        </is>
      </c>
      <c r="J2378">
        <f>16958.02</f>
        <v/>
      </c>
    </row>
    <row r="2379">
      <c r="B2379" t="inlineStr">
        <is>
          <t>11/30/2025</t>
        </is>
      </c>
      <c r="C2379" t="inlineStr">
        <is>
          <t>Journal Entry</t>
        </is>
      </c>
      <c r="D2379" t="inlineStr">
        <is>
          <t>JE-1045</t>
        </is>
      </c>
      <c r="E2379" t="inlineStr">
        <is>
          <t>Paylane</t>
        </is>
      </c>
      <c r="F2379" t="inlineStr">
        <is>
          <t>Paylane payout 2025-11 #2</t>
        </is>
      </c>
      <c r="G2379" t="inlineStr">
        <is>
          <t>1200</t>
        </is>
      </c>
      <c r="H2379" t="inlineStr">
        <is>
          <t>Paylane Clearing</t>
        </is>
      </c>
      <c r="I2379" t="inlineStr">
        <is>
          <t>Product</t>
        </is>
      </c>
      <c r="K2379">
        <f>16958.02</f>
        <v/>
      </c>
    </row>
    <row r="2380">
      <c r="A2380" t="inlineStr">
        <is>
          <t>Total for T-00469</t>
        </is>
      </c>
      <c r="J2380">
        <f>J2378</f>
        <v/>
      </c>
      <c r="K2380">
        <f>K2379</f>
        <v/>
      </c>
    </row>
    <row r="2381"/>
    <row r="2382">
      <c r="A2382" t="inlineStr">
        <is>
          <t>T-00470</t>
        </is>
      </c>
    </row>
    <row r="2383">
      <c r="B2383" t="inlineStr">
        <is>
          <t>11/30/2025</t>
        </is>
      </c>
      <c r="C2383" t="inlineStr">
        <is>
          <t>Journal Entry</t>
        </is>
      </c>
      <c r="D2383" t="inlineStr">
        <is>
          <t>JE-1046</t>
        </is>
      </c>
      <c r="E2383" t="inlineStr"/>
      <c r="F2383" t="inlineStr">
        <is>
          <t>Depreciation 2025-11</t>
        </is>
      </c>
      <c r="G2383" t="inlineStr">
        <is>
          <t>7000</t>
        </is>
      </c>
      <c r="H2383" t="inlineStr">
        <is>
          <t>Depreciation Expense</t>
        </is>
      </c>
      <c r="I2383" t="inlineStr">
        <is>
          <t>Product</t>
        </is>
      </c>
      <c r="J2383">
        <f>800.00</f>
        <v/>
      </c>
    </row>
    <row r="2384">
      <c r="B2384" t="inlineStr">
        <is>
          <t>11/30/2025</t>
        </is>
      </c>
      <c r="C2384" t="inlineStr">
        <is>
          <t>Journal Entry</t>
        </is>
      </c>
      <c r="D2384" t="inlineStr">
        <is>
          <t>JE-1046</t>
        </is>
      </c>
      <c r="E2384" t="inlineStr"/>
      <c r="F2384" t="inlineStr">
        <is>
          <t>Depreciation 2025-11</t>
        </is>
      </c>
      <c r="G2384" t="inlineStr">
        <is>
          <t>1510</t>
        </is>
      </c>
      <c r="H2384" t="inlineStr">
        <is>
          <t>Accumulated Depreciation</t>
        </is>
      </c>
      <c r="I2384" t="inlineStr">
        <is>
          <t>Product</t>
        </is>
      </c>
      <c r="K2384">
        <f>800.00</f>
        <v/>
      </c>
    </row>
    <row r="2385">
      <c r="A2385" t="inlineStr">
        <is>
          <t>Total for T-00470</t>
        </is>
      </c>
      <c r="J2385">
        <f>J2383</f>
        <v/>
      </c>
      <c r="K2385">
        <f>K2384</f>
        <v/>
      </c>
    </row>
    <row r="2386"/>
    <row r="2387">
      <c r="A2387" t="inlineStr">
        <is>
          <t>T-00471</t>
        </is>
      </c>
    </row>
    <row r="2388">
      <c r="B2388" t="inlineStr">
        <is>
          <t>12/10/2025</t>
        </is>
      </c>
      <c r="C2388" t="inlineStr">
        <is>
          <t>Invoice</t>
        </is>
      </c>
      <c r="D2388" t="inlineStr">
        <is>
          <t>INV-1022</t>
        </is>
      </c>
      <c r="E2388" t="inlineStr">
        <is>
          <t>Corvus Labs Inc</t>
        </is>
      </c>
      <c r="F2388" t="inlineStr">
        <is>
          <t>INV-1022 robot cell</t>
        </is>
      </c>
      <c r="G2388" t="inlineStr">
        <is>
          <t>1100</t>
        </is>
      </c>
      <c r="H2388" t="inlineStr">
        <is>
          <t>Accounts Receivable</t>
        </is>
      </c>
      <c r="I2388" t="inlineStr">
        <is>
          <t>Product</t>
        </is>
      </c>
      <c r="J2388">
        <f>52357.19</f>
        <v/>
      </c>
    </row>
    <row r="2389">
      <c r="B2389" t="inlineStr">
        <is>
          <t>12/10/2025</t>
        </is>
      </c>
      <c r="C2389" t="inlineStr">
        <is>
          <t>Invoice</t>
        </is>
      </c>
      <c r="D2389" t="inlineStr">
        <is>
          <t>INV-1022</t>
        </is>
      </c>
      <c r="E2389" t="inlineStr">
        <is>
          <t>Corvus Labs Inc</t>
        </is>
      </c>
      <c r="F2389" t="inlineStr">
        <is>
          <t>INV-1022 robot cell</t>
        </is>
      </c>
      <c r="G2389" t="inlineStr">
        <is>
          <t>4000</t>
        </is>
      </c>
      <c r="H2389" t="inlineStr">
        <is>
          <t>Product Revenue</t>
        </is>
      </c>
      <c r="I2389" t="inlineStr">
        <is>
          <t>Product</t>
        </is>
      </c>
      <c r="K2389">
        <f>52357.19</f>
        <v/>
      </c>
    </row>
    <row r="2390">
      <c r="A2390" t="inlineStr">
        <is>
          <t>Total for T-00471</t>
        </is>
      </c>
      <c r="J2390">
        <f>J2388</f>
        <v/>
      </c>
      <c r="K2390">
        <f>K2389</f>
        <v/>
      </c>
    </row>
    <row r="2391"/>
    <row r="2392">
      <c r="A2392" t="inlineStr">
        <is>
          <t>T-00472</t>
        </is>
      </c>
    </row>
    <row r="2393">
      <c r="B2393" t="inlineStr">
        <is>
          <t>12/10/2025</t>
        </is>
      </c>
      <c r="C2393" t="inlineStr">
        <is>
          <t>Invoice</t>
        </is>
      </c>
      <c r="D2393" t="inlineStr">
        <is>
          <t>INV-1023</t>
        </is>
      </c>
      <c r="E2393" t="inlineStr">
        <is>
          <t>Corvus Labs Inc</t>
        </is>
      </c>
      <c r="F2393" t="inlineStr">
        <is>
          <t>INV-1023 support plan</t>
        </is>
      </c>
      <c r="G2393" t="inlineStr">
        <is>
          <t>1100</t>
        </is>
      </c>
      <c r="H2393" t="inlineStr">
        <is>
          <t>Accounts Receivable</t>
        </is>
      </c>
      <c r="I2393" t="inlineStr">
        <is>
          <t>Services</t>
        </is>
      </c>
      <c r="J2393">
        <f>9250.00</f>
        <v/>
      </c>
    </row>
    <row r="2394">
      <c r="B2394" t="inlineStr">
        <is>
          <t>12/10/2025</t>
        </is>
      </c>
      <c r="C2394" t="inlineStr">
        <is>
          <t>Invoice</t>
        </is>
      </c>
      <c r="D2394" t="inlineStr">
        <is>
          <t>INV-1023</t>
        </is>
      </c>
      <c r="E2394" t="inlineStr">
        <is>
          <t>Corvus Labs Inc</t>
        </is>
      </c>
      <c r="F2394" t="inlineStr">
        <is>
          <t>INV-1023 support plan</t>
        </is>
      </c>
      <c r="G2394" t="inlineStr">
        <is>
          <t>4100</t>
        </is>
      </c>
      <c r="H2394" t="inlineStr">
        <is>
          <t>Service Revenue</t>
        </is>
      </c>
      <c r="I2394" t="inlineStr">
        <is>
          <t>Services</t>
        </is>
      </c>
      <c r="K2394">
        <f>9250.00</f>
        <v/>
      </c>
    </row>
    <row r="2395">
      <c r="A2395" t="inlineStr">
        <is>
          <t>Total for T-00472</t>
        </is>
      </c>
      <c r="J2395">
        <f>J2393</f>
        <v/>
      </c>
      <c r="K2395">
        <f>K2394</f>
        <v/>
      </c>
    </row>
    <row r="2396"/>
    <row r="2397">
      <c r="A2397" t="inlineStr">
        <is>
          <t>T-00474</t>
        </is>
      </c>
    </row>
    <row r="2398">
      <c r="B2398" t="inlineStr">
        <is>
          <t>12/15/2025</t>
        </is>
      </c>
      <c r="C2398" t="inlineStr">
        <is>
          <t>Journal Entry</t>
        </is>
      </c>
      <c r="D2398" t="inlineStr">
        <is>
          <t>JE-1047</t>
        </is>
      </c>
      <c r="E2398" t="inlineStr">
        <is>
          <t>Proseware Payroll</t>
        </is>
      </c>
      <c r="F2398" t="inlineStr">
        <is>
          <t>Payroll 2025-12-15 gross wages</t>
        </is>
      </c>
      <c r="G2398" t="inlineStr">
        <is>
          <t>6000</t>
        </is>
      </c>
      <c r="H2398" t="inlineStr">
        <is>
          <t>Salaries and Wages</t>
        </is>
      </c>
      <c r="I2398" t="inlineStr">
        <is>
          <t>Overhead</t>
        </is>
      </c>
      <c r="J2398">
        <f>23950.00</f>
        <v/>
      </c>
    </row>
    <row r="2399">
      <c r="B2399" t="inlineStr">
        <is>
          <t>12/15/2025</t>
        </is>
      </c>
      <c r="C2399" t="inlineStr">
        <is>
          <t>Journal Entry</t>
        </is>
      </c>
      <c r="D2399" t="inlineStr">
        <is>
          <t>JE-1047</t>
        </is>
      </c>
      <c r="E2399" t="inlineStr">
        <is>
          <t>Proseware Payroll</t>
        </is>
      </c>
      <c r="F2399" t="inlineStr">
        <is>
          <t>Payroll 2025-12-15 employer taxes</t>
        </is>
      </c>
      <c r="G2399" t="inlineStr">
        <is>
          <t>6010</t>
        </is>
      </c>
      <c r="H2399" t="inlineStr">
        <is>
          <t>Payroll Taxes</t>
        </is>
      </c>
      <c r="I2399" t="inlineStr">
        <is>
          <t>Overhead</t>
        </is>
      </c>
      <c r="J2399">
        <f>1832.18</f>
        <v/>
      </c>
    </row>
    <row r="2400">
      <c r="B2400" t="inlineStr">
        <is>
          <t>12/15/2025</t>
        </is>
      </c>
      <c r="C2400" t="inlineStr">
        <is>
          <t>Journal Entry</t>
        </is>
      </c>
      <c r="D2400" t="inlineStr">
        <is>
          <t>JE-1047</t>
        </is>
      </c>
      <c r="E2400" t="inlineStr">
        <is>
          <t>Proseware Payroll</t>
        </is>
      </c>
      <c r="F2400" t="inlineStr">
        <is>
          <t>Proseware payroll debit 2025-12-15</t>
        </is>
      </c>
      <c r="G2400" t="inlineStr">
        <is>
          <t>1010</t>
        </is>
      </c>
      <c r="H2400" t="inlineStr">
        <is>
          <t>Northgate Checking 7742</t>
        </is>
      </c>
      <c r="I2400" t="inlineStr">
        <is>
          <t>Overhead</t>
        </is>
      </c>
      <c r="K2400">
        <f>25782.18</f>
        <v/>
      </c>
    </row>
    <row r="2401">
      <c r="A2401" t="inlineStr">
        <is>
          <t>Total for T-00474</t>
        </is>
      </c>
      <c r="J2401">
        <f>J2398+J2399</f>
        <v/>
      </c>
      <c r="K2401">
        <f>K2400</f>
        <v/>
      </c>
    </row>
    <row r="2402"/>
    <row r="2403">
      <c r="A2403" t="inlineStr">
        <is>
          <t>T-00476</t>
        </is>
      </c>
    </row>
    <row r="2404">
      <c r="B2404" t="inlineStr">
        <is>
          <t>12/15/2025</t>
        </is>
      </c>
      <c r="C2404" t="inlineStr">
        <is>
          <t>Journal Entry</t>
        </is>
      </c>
      <c r="D2404" t="inlineStr">
        <is>
          <t>JE-1049</t>
        </is>
      </c>
      <c r="E2404" t="inlineStr">
        <is>
          <t>Paylane</t>
        </is>
      </c>
      <c r="F2404" t="inlineStr">
        <is>
          <t>Paylane payout 2025-12 #1</t>
        </is>
      </c>
      <c r="G2404" t="inlineStr">
        <is>
          <t>1010</t>
        </is>
      </c>
      <c r="H2404" t="inlineStr">
        <is>
          <t>Northgate Checking 7742</t>
        </is>
      </c>
      <c r="I2404" t="inlineStr">
        <is>
          <t>Product</t>
        </is>
      </c>
      <c r="J2404">
        <f>21808.40</f>
        <v/>
      </c>
    </row>
    <row r="2405">
      <c r="B2405" t="inlineStr">
        <is>
          <t>12/15/2025</t>
        </is>
      </c>
      <c r="C2405" t="inlineStr">
        <is>
          <t>Journal Entry</t>
        </is>
      </c>
      <c r="D2405" t="inlineStr">
        <is>
          <t>JE-1049</t>
        </is>
      </c>
      <c r="E2405" t="inlineStr">
        <is>
          <t>Paylane</t>
        </is>
      </c>
      <c r="F2405" t="inlineStr">
        <is>
          <t>Paylane payout 2025-12 #1</t>
        </is>
      </c>
      <c r="G2405" t="inlineStr">
        <is>
          <t>1200</t>
        </is>
      </c>
      <c r="H2405" t="inlineStr">
        <is>
          <t>Paylane Clearing</t>
        </is>
      </c>
      <c r="I2405" t="inlineStr">
        <is>
          <t>Product</t>
        </is>
      </c>
      <c r="K2405">
        <f>21808.40</f>
        <v/>
      </c>
    </row>
    <row r="2406">
      <c r="A2406" t="inlineStr">
        <is>
          <t>Total for T-00476</t>
        </is>
      </c>
      <c r="J2406">
        <f>J2404</f>
        <v/>
      </c>
      <c r="K2406">
        <f>K2405</f>
        <v/>
      </c>
    </row>
    <row r="2407"/>
    <row r="2408">
      <c r="A2408" t="inlineStr">
        <is>
          <t>T-00473</t>
        </is>
      </c>
    </row>
    <row r="2409">
      <c r="B2409" t="inlineStr">
        <is>
          <t>12/20/2025</t>
        </is>
      </c>
      <c r="C2409" t="inlineStr">
        <is>
          <t>Bill</t>
        </is>
      </c>
      <c r="D2409" t="inlineStr">
        <is>
          <t>NWS-4411</t>
        </is>
      </c>
      <c r="E2409" t="inlineStr">
        <is>
          <t>Northwind Supply</t>
        </is>
      </c>
      <c r="F2409" t="inlineStr">
        <is>
          <t>NWS-4411 components</t>
        </is>
      </c>
      <c r="G2409" t="inlineStr">
        <is>
          <t>5000</t>
        </is>
      </c>
      <c r="H2409" t="inlineStr">
        <is>
          <t>Cost of Goods Sold - Components</t>
        </is>
      </c>
      <c r="I2409" t="inlineStr">
        <is>
          <t>Product</t>
        </is>
      </c>
      <c r="J2409">
        <f>15930.57</f>
        <v/>
      </c>
    </row>
    <row r="2410">
      <c r="B2410" t="inlineStr">
        <is>
          <t>12/20/2025</t>
        </is>
      </c>
      <c r="C2410" t="inlineStr">
        <is>
          <t>Bill</t>
        </is>
      </c>
      <c r="D2410" t="inlineStr">
        <is>
          <t>NWS-4411</t>
        </is>
      </c>
      <c r="E2410" t="inlineStr">
        <is>
          <t>Northwind Supply</t>
        </is>
      </c>
      <c r="F2410" t="inlineStr">
        <is>
          <t>NWS-4411 components</t>
        </is>
      </c>
      <c r="G2410" t="inlineStr">
        <is>
          <t>2010</t>
        </is>
      </c>
      <c r="H2410" t="inlineStr">
        <is>
          <t>Accounts Payable</t>
        </is>
      </c>
      <c r="I2410" t="inlineStr">
        <is>
          <t>Product</t>
        </is>
      </c>
      <c r="K2410">
        <f>15930.57</f>
        <v/>
      </c>
    </row>
    <row r="2411">
      <c r="A2411" t="inlineStr">
        <is>
          <t>Total for T-00473</t>
        </is>
      </c>
      <c r="J2411">
        <f>J2409</f>
        <v/>
      </c>
      <c r="K2411">
        <f>K2410</f>
        <v/>
      </c>
    </row>
    <row r="2412"/>
    <row r="2413">
      <c r="A2413" t="inlineStr">
        <is>
          <t>T-00475</t>
        </is>
      </c>
    </row>
    <row r="2414">
      <c r="B2414" t="inlineStr">
        <is>
          <t>12/31/2025</t>
        </is>
      </c>
      <c r="C2414" t="inlineStr">
        <is>
          <t>Journal Entry</t>
        </is>
      </c>
      <c r="D2414" t="inlineStr">
        <is>
          <t>JE-1048</t>
        </is>
      </c>
      <c r="E2414" t="inlineStr">
        <is>
          <t>Proseware Payroll</t>
        </is>
      </c>
      <c r="F2414" t="inlineStr">
        <is>
          <t>Payroll 2025-12-31 gross wages</t>
        </is>
      </c>
      <c r="G2414" t="inlineStr">
        <is>
          <t>6000</t>
        </is>
      </c>
      <c r="H2414" t="inlineStr">
        <is>
          <t>Salaries and Wages</t>
        </is>
      </c>
      <c r="I2414" t="inlineStr">
        <is>
          <t>Overhead</t>
        </is>
      </c>
      <c r="J2414">
        <f>23950.00</f>
        <v/>
      </c>
    </row>
    <row r="2415">
      <c r="B2415" t="inlineStr">
        <is>
          <t>12/31/2025</t>
        </is>
      </c>
      <c r="C2415" t="inlineStr">
        <is>
          <t>Journal Entry</t>
        </is>
      </c>
      <c r="D2415" t="inlineStr">
        <is>
          <t>JE-1048</t>
        </is>
      </c>
      <c r="E2415" t="inlineStr">
        <is>
          <t>Proseware Payroll</t>
        </is>
      </c>
      <c r="F2415" t="inlineStr">
        <is>
          <t>Payroll 2025-12-31 employer taxes</t>
        </is>
      </c>
      <c r="G2415" t="inlineStr">
        <is>
          <t>6010</t>
        </is>
      </c>
      <c r="H2415" t="inlineStr">
        <is>
          <t>Payroll Taxes</t>
        </is>
      </c>
      <c r="I2415" t="inlineStr">
        <is>
          <t>Overhead</t>
        </is>
      </c>
      <c r="J2415">
        <f>1832.18</f>
        <v/>
      </c>
    </row>
    <row r="2416">
      <c r="B2416" t="inlineStr">
        <is>
          <t>12/31/2025</t>
        </is>
      </c>
      <c r="C2416" t="inlineStr">
        <is>
          <t>Journal Entry</t>
        </is>
      </c>
      <c r="D2416" t="inlineStr">
        <is>
          <t>JE-1048</t>
        </is>
      </c>
      <c r="E2416" t="inlineStr">
        <is>
          <t>Proseware Payroll</t>
        </is>
      </c>
      <c r="F2416" t="inlineStr">
        <is>
          <t>Proseware payroll debit 2025-12-31</t>
        </is>
      </c>
      <c r="G2416" t="inlineStr">
        <is>
          <t>1010</t>
        </is>
      </c>
      <c r="H2416" t="inlineStr">
        <is>
          <t>Northgate Checking 7742</t>
        </is>
      </c>
      <c r="I2416" t="inlineStr">
        <is>
          <t>Overhead</t>
        </is>
      </c>
      <c r="K2416">
        <f>25782.18</f>
        <v/>
      </c>
    </row>
    <row r="2417">
      <c r="A2417" t="inlineStr">
        <is>
          <t>Total for T-00475</t>
        </is>
      </c>
      <c r="J2417">
        <f>J2414+J2415</f>
        <v/>
      </c>
      <c r="K2417">
        <f>K2416</f>
        <v/>
      </c>
    </row>
    <row r="2418"/>
    <row r="2419">
      <c r="A2419" t="inlineStr">
        <is>
          <t>T-00477</t>
        </is>
      </c>
    </row>
    <row r="2420">
      <c r="B2420" t="inlineStr">
        <is>
          <t>12/31/2025</t>
        </is>
      </c>
      <c r="C2420" t="inlineStr">
        <is>
          <t>Journal Entry</t>
        </is>
      </c>
      <c r="D2420" t="inlineStr">
        <is>
          <t>JE-1050</t>
        </is>
      </c>
      <c r="E2420" t="inlineStr">
        <is>
          <t>Paylane</t>
        </is>
      </c>
      <c r="F2420" t="inlineStr">
        <is>
          <t>Paylane payout 2025-12 #2</t>
        </is>
      </c>
      <c r="G2420" t="inlineStr">
        <is>
          <t>1010</t>
        </is>
      </c>
      <c r="H2420" t="inlineStr">
        <is>
          <t>Northgate Checking 7742</t>
        </is>
      </c>
      <c r="I2420" t="inlineStr">
        <is>
          <t>Product</t>
        </is>
      </c>
      <c r="J2420">
        <f>17843.23</f>
        <v/>
      </c>
    </row>
    <row r="2421">
      <c r="B2421" t="inlineStr">
        <is>
          <t>12/31/2025</t>
        </is>
      </c>
      <c r="C2421" t="inlineStr">
        <is>
          <t>Journal Entry</t>
        </is>
      </c>
      <c r="D2421" t="inlineStr">
        <is>
          <t>JE-1050</t>
        </is>
      </c>
      <c r="E2421" t="inlineStr">
        <is>
          <t>Paylane</t>
        </is>
      </c>
      <c r="F2421" t="inlineStr">
        <is>
          <t>Paylane payout 2025-12 #2</t>
        </is>
      </c>
      <c r="G2421" t="inlineStr">
        <is>
          <t>1200</t>
        </is>
      </c>
      <c r="H2421" t="inlineStr">
        <is>
          <t>Paylane Clearing</t>
        </is>
      </c>
      <c r="I2421" t="inlineStr">
        <is>
          <t>Product</t>
        </is>
      </c>
      <c r="K2421">
        <f>17843.23</f>
        <v/>
      </c>
    </row>
    <row r="2422">
      <c r="A2422" t="inlineStr">
        <is>
          <t>Total for T-00477</t>
        </is>
      </c>
      <c r="J2422">
        <f>J2420</f>
        <v/>
      </c>
      <c r="K2422">
        <f>K2421</f>
        <v/>
      </c>
    </row>
    <row r="2423"/>
    <row r="2424">
      <c r="A2424" t="inlineStr">
        <is>
          <t>T-00478</t>
        </is>
      </c>
    </row>
    <row r="2425">
      <c r="B2425" t="inlineStr">
        <is>
          <t>12/31/2025</t>
        </is>
      </c>
      <c r="C2425" t="inlineStr">
        <is>
          <t>Journal Entry</t>
        </is>
      </c>
      <c r="D2425" t="inlineStr">
        <is>
          <t>JE-1051</t>
        </is>
      </c>
      <c r="E2425" t="inlineStr"/>
      <c r="F2425" t="inlineStr">
        <is>
          <t>Depreciation 2025-12</t>
        </is>
      </c>
      <c r="G2425" t="inlineStr">
        <is>
          <t>7000</t>
        </is>
      </c>
      <c r="H2425" t="inlineStr">
        <is>
          <t>Depreciation Expense</t>
        </is>
      </c>
      <c r="I2425" t="inlineStr">
        <is>
          <t>Product</t>
        </is>
      </c>
      <c r="J2425">
        <f>800.00</f>
        <v/>
      </c>
    </row>
    <row r="2426">
      <c r="B2426" t="inlineStr">
        <is>
          <t>12/31/2025</t>
        </is>
      </c>
      <c r="C2426" t="inlineStr">
        <is>
          <t>Journal Entry</t>
        </is>
      </c>
      <c r="D2426" t="inlineStr">
        <is>
          <t>JE-1051</t>
        </is>
      </c>
      <c r="E2426" t="inlineStr"/>
      <c r="F2426" t="inlineStr">
        <is>
          <t>Depreciation 2025-12</t>
        </is>
      </c>
      <c r="G2426" t="inlineStr">
        <is>
          <t>1510</t>
        </is>
      </c>
      <c r="H2426" t="inlineStr">
        <is>
          <t>Accumulated Depreciation</t>
        </is>
      </c>
      <c r="I2426" t="inlineStr">
        <is>
          <t>Product</t>
        </is>
      </c>
      <c r="K2426">
        <f>800.00</f>
        <v/>
      </c>
    </row>
    <row r="2427">
      <c r="A2427" t="inlineStr">
        <is>
          <t>Total for T-00478</t>
        </is>
      </c>
      <c r="J2427">
        <f>J2425</f>
        <v/>
      </c>
      <c r="K2427">
        <f>K2426</f>
        <v/>
      </c>
    </row>
    <row r="2428"/>
    <row r="2429">
      <c r="A2429" t="inlineStr">
        <is>
          <t>T-00479</t>
        </is>
      </c>
    </row>
    <row r="2430">
      <c r="B2430" t="inlineStr">
        <is>
          <t>01/10/2026</t>
        </is>
      </c>
      <c r="C2430" t="inlineStr">
        <is>
          <t>Invoice</t>
        </is>
      </c>
      <c r="D2430" t="inlineStr">
        <is>
          <t>INV-1024</t>
        </is>
      </c>
      <c r="E2430" t="inlineStr">
        <is>
          <t>Volt Dynamics Inc</t>
        </is>
      </c>
      <c r="F2430" t="inlineStr">
        <is>
          <t>INV-1024 robot cell</t>
        </is>
      </c>
      <c r="G2430" t="inlineStr">
        <is>
          <t>1100</t>
        </is>
      </c>
      <c r="H2430" t="inlineStr">
        <is>
          <t>Accounts Receivable</t>
        </is>
      </c>
      <c r="I2430" t="inlineStr">
        <is>
          <t>Product</t>
        </is>
      </c>
      <c r="J2430">
        <f>54392.03</f>
        <v/>
      </c>
    </row>
    <row r="2431">
      <c r="B2431" t="inlineStr">
        <is>
          <t>01/10/2026</t>
        </is>
      </c>
      <c r="C2431" t="inlineStr">
        <is>
          <t>Invoice</t>
        </is>
      </c>
      <c r="D2431" t="inlineStr">
        <is>
          <t>INV-1024</t>
        </is>
      </c>
      <c r="E2431" t="inlineStr">
        <is>
          <t>Volt Dynamics Inc</t>
        </is>
      </c>
      <c r="F2431" t="inlineStr">
        <is>
          <t>INV-1024 robot cell</t>
        </is>
      </c>
      <c r="G2431" t="inlineStr">
        <is>
          <t>4000</t>
        </is>
      </c>
      <c r="H2431" t="inlineStr">
        <is>
          <t>Product Revenue</t>
        </is>
      </c>
      <c r="I2431" t="inlineStr">
        <is>
          <t>Product</t>
        </is>
      </c>
      <c r="K2431">
        <f>54392.03</f>
        <v/>
      </c>
    </row>
    <row r="2432">
      <c r="A2432" t="inlineStr">
        <is>
          <t>Total for T-00479</t>
        </is>
      </c>
      <c r="J2432">
        <f>J2430</f>
        <v/>
      </c>
      <c r="K2432">
        <f>K2431</f>
        <v/>
      </c>
    </row>
    <row r="2433"/>
    <row r="2434">
      <c r="A2434" t="inlineStr">
        <is>
          <t>T-00480</t>
        </is>
      </c>
    </row>
    <row r="2435">
      <c r="B2435" t="inlineStr">
        <is>
          <t>01/10/2026</t>
        </is>
      </c>
      <c r="C2435" t="inlineStr">
        <is>
          <t>Invoice</t>
        </is>
      </c>
      <c r="D2435" t="inlineStr">
        <is>
          <t>INV-1025</t>
        </is>
      </c>
      <c r="E2435" t="inlineStr">
        <is>
          <t>Volt Dynamics Inc</t>
        </is>
      </c>
      <c r="F2435" t="inlineStr">
        <is>
          <t>INV-1025 support plan</t>
        </is>
      </c>
      <c r="G2435" t="inlineStr">
        <is>
          <t>1100</t>
        </is>
      </c>
      <c r="H2435" t="inlineStr">
        <is>
          <t>Accounts Receivable</t>
        </is>
      </c>
      <c r="I2435" t="inlineStr">
        <is>
          <t>Services</t>
        </is>
      </c>
      <c r="J2435">
        <f>9500.00</f>
        <v/>
      </c>
    </row>
    <row r="2436">
      <c r="B2436" t="inlineStr">
        <is>
          <t>01/10/2026</t>
        </is>
      </c>
      <c r="C2436" t="inlineStr">
        <is>
          <t>Invoice</t>
        </is>
      </c>
      <c r="D2436" t="inlineStr">
        <is>
          <t>INV-1025</t>
        </is>
      </c>
      <c r="E2436" t="inlineStr">
        <is>
          <t>Volt Dynamics Inc</t>
        </is>
      </c>
      <c r="F2436" t="inlineStr">
        <is>
          <t>INV-1025 support plan</t>
        </is>
      </c>
      <c r="G2436" t="inlineStr">
        <is>
          <t>4100</t>
        </is>
      </c>
      <c r="H2436" t="inlineStr">
        <is>
          <t>Service Revenue</t>
        </is>
      </c>
      <c r="I2436" t="inlineStr">
        <is>
          <t>Services</t>
        </is>
      </c>
      <c r="K2436">
        <f>9500.00</f>
        <v/>
      </c>
    </row>
    <row r="2437">
      <c r="A2437" t="inlineStr">
        <is>
          <t>Total for T-00480</t>
        </is>
      </c>
      <c r="J2437">
        <f>J2435</f>
        <v/>
      </c>
      <c r="K2437">
        <f>K2436</f>
        <v/>
      </c>
    </row>
    <row r="2438"/>
    <row r="2439">
      <c r="A2439" t="inlineStr">
        <is>
          <t>T-00482</t>
        </is>
      </c>
    </row>
    <row r="2440">
      <c r="B2440" t="inlineStr">
        <is>
          <t>01/15/2026</t>
        </is>
      </c>
      <c r="C2440" t="inlineStr">
        <is>
          <t>Journal Entry</t>
        </is>
      </c>
      <c r="D2440" t="inlineStr">
        <is>
          <t>JE-1052</t>
        </is>
      </c>
      <c r="E2440" t="inlineStr">
        <is>
          <t>Proseware Payroll</t>
        </is>
      </c>
      <c r="F2440" t="inlineStr">
        <is>
          <t>Payroll 2026-01-15 gross wages</t>
        </is>
      </c>
      <c r="G2440" t="inlineStr">
        <is>
          <t>6000</t>
        </is>
      </c>
      <c r="H2440" t="inlineStr">
        <is>
          <t>Salaries and Wages</t>
        </is>
      </c>
      <c r="I2440" t="inlineStr">
        <is>
          <t>Overhead</t>
        </is>
      </c>
      <c r="J2440">
        <f>24400.00</f>
        <v/>
      </c>
    </row>
    <row r="2441">
      <c r="B2441" t="inlineStr">
        <is>
          <t>01/15/2026</t>
        </is>
      </c>
      <c r="C2441" t="inlineStr">
        <is>
          <t>Journal Entry</t>
        </is>
      </c>
      <c r="D2441" t="inlineStr">
        <is>
          <t>JE-1052</t>
        </is>
      </c>
      <c r="E2441" t="inlineStr">
        <is>
          <t>Proseware Payroll</t>
        </is>
      </c>
      <c r="F2441" t="inlineStr">
        <is>
          <t>Payroll 2026-01-15 employer taxes</t>
        </is>
      </c>
      <c r="G2441" t="inlineStr">
        <is>
          <t>6010</t>
        </is>
      </c>
      <c r="H2441" t="inlineStr">
        <is>
          <t>Payroll Taxes</t>
        </is>
      </c>
      <c r="I2441" t="inlineStr">
        <is>
          <t>Overhead</t>
        </is>
      </c>
      <c r="J2441">
        <f>1866.60</f>
        <v/>
      </c>
    </row>
    <row r="2442">
      <c r="B2442" t="inlineStr">
        <is>
          <t>01/15/2026</t>
        </is>
      </c>
      <c r="C2442" t="inlineStr">
        <is>
          <t>Journal Entry</t>
        </is>
      </c>
      <c r="D2442" t="inlineStr">
        <is>
          <t>JE-1052</t>
        </is>
      </c>
      <c r="E2442" t="inlineStr">
        <is>
          <t>Proseware Payroll</t>
        </is>
      </c>
      <c r="F2442" t="inlineStr">
        <is>
          <t>Proseware payroll debit 2026-01-15</t>
        </is>
      </c>
      <c r="G2442" t="inlineStr">
        <is>
          <t>1010</t>
        </is>
      </c>
      <c r="H2442" t="inlineStr">
        <is>
          <t>Northgate Checking 7742</t>
        </is>
      </c>
      <c r="I2442" t="inlineStr">
        <is>
          <t>Overhead</t>
        </is>
      </c>
      <c r="K2442">
        <f>26266.60</f>
        <v/>
      </c>
    </row>
    <row r="2443">
      <c r="A2443" t="inlineStr">
        <is>
          <t>Total for T-00482</t>
        </is>
      </c>
      <c r="J2443">
        <f>J2440+J2441</f>
        <v/>
      </c>
      <c r="K2443">
        <f>K2442</f>
        <v/>
      </c>
    </row>
    <row r="2444"/>
    <row r="2445">
      <c r="A2445" t="inlineStr">
        <is>
          <t>T-00484</t>
        </is>
      </c>
    </row>
    <row r="2446">
      <c r="B2446" t="inlineStr">
        <is>
          <t>01/15/2026</t>
        </is>
      </c>
      <c r="C2446" t="inlineStr">
        <is>
          <t>Journal Entry</t>
        </is>
      </c>
      <c r="D2446" t="inlineStr">
        <is>
          <t>JE-1054</t>
        </is>
      </c>
      <c r="E2446" t="inlineStr">
        <is>
          <t>Paylane</t>
        </is>
      </c>
      <c r="F2446" t="inlineStr">
        <is>
          <t>Paylane payout 2026-01 #1</t>
        </is>
      </c>
      <c r="G2446" t="inlineStr">
        <is>
          <t>1010</t>
        </is>
      </c>
      <c r="H2446" t="inlineStr">
        <is>
          <t>Northgate Checking 7742</t>
        </is>
      </c>
      <c r="I2446" t="inlineStr">
        <is>
          <t>Product</t>
        </is>
      </c>
      <c r="J2446">
        <f>22523.48</f>
        <v/>
      </c>
    </row>
    <row r="2447">
      <c r="B2447" t="inlineStr">
        <is>
          <t>01/15/2026</t>
        </is>
      </c>
      <c r="C2447" t="inlineStr">
        <is>
          <t>Journal Entry</t>
        </is>
      </c>
      <c r="D2447" t="inlineStr">
        <is>
          <t>JE-1054</t>
        </is>
      </c>
      <c r="E2447" t="inlineStr">
        <is>
          <t>Paylane</t>
        </is>
      </c>
      <c r="F2447" t="inlineStr">
        <is>
          <t>Paylane payout 2026-01 #1</t>
        </is>
      </c>
      <c r="G2447" t="inlineStr">
        <is>
          <t>1200</t>
        </is>
      </c>
      <c r="H2447" t="inlineStr">
        <is>
          <t>Paylane Clearing</t>
        </is>
      </c>
      <c r="I2447" t="inlineStr">
        <is>
          <t>Product</t>
        </is>
      </c>
      <c r="K2447">
        <f>22523.48</f>
        <v/>
      </c>
    </row>
    <row r="2448">
      <c r="A2448" t="inlineStr">
        <is>
          <t>Total for T-00484</t>
        </is>
      </c>
      <c r="J2448">
        <f>J2446</f>
        <v/>
      </c>
      <c r="K2448">
        <f>K2447</f>
        <v/>
      </c>
    </row>
    <row r="2449"/>
    <row r="2450">
      <c r="A2450" t="inlineStr">
        <is>
          <t>T-00481</t>
        </is>
      </c>
    </row>
    <row r="2451">
      <c r="B2451" t="inlineStr">
        <is>
          <t>01/20/2026</t>
        </is>
      </c>
      <c r="C2451" t="inlineStr">
        <is>
          <t>Bill</t>
        </is>
      </c>
      <c r="D2451" t="inlineStr">
        <is>
          <t>NWS-4412</t>
        </is>
      </c>
      <c r="E2451" t="inlineStr">
        <is>
          <t>Northwind Supply</t>
        </is>
      </c>
      <c r="F2451" t="inlineStr">
        <is>
          <t>NWS-4412 components</t>
        </is>
      </c>
      <c r="G2451" t="inlineStr">
        <is>
          <t>5000</t>
        </is>
      </c>
      <c r="H2451" t="inlineStr">
        <is>
          <t>Cost of Goods Sold - Components</t>
        </is>
      </c>
      <c r="I2451" t="inlineStr">
        <is>
          <t>Product</t>
        </is>
      </c>
      <c r="J2451">
        <f>16217.01</f>
        <v/>
      </c>
    </row>
    <row r="2452">
      <c r="B2452" t="inlineStr">
        <is>
          <t>01/20/2026</t>
        </is>
      </c>
      <c r="C2452" t="inlineStr">
        <is>
          <t>Bill</t>
        </is>
      </c>
      <c r="D2452" t="inlineStr">
        <is>
          <t>NWS-4412</t>
        </is>
      </c>
      <c r="E2452" t="inlineStr">
        <is>
          <t>Northwind Supply</t>
        </is>
      </c>
      <c r="F2452" t="inlineStr">
        <is>
          <t>NWS-4412 components</t>
        </is>
      </c>
      <c r="G2452" t="inlineStr">
        <is>
          <t>2010</t>
        </is>
      </c>
      <c r="H2452" t="inlineStr">
        <is>
          <t>Accounts Payable</t>
        </is>
      </c>
      <c r="I2452" t="inlineStr">
        <is>
          <t>Product</t>
        </is>
      </c>
      <c r="K2452">
        <f>16217.01</f>
        <v/>
      </c>
    </row>
    <row r="2453">
      <c r="A2453" t="inlineStr">
        <is>
          <t>Total for T-00481</t>
        </is>
      </c>
      <c r="J2453">
        <f>J2451</f>
        <v/>
      </c>
      <c r="K2453">
        <f>K2452</f>
        <v/>
      </c>
    </row>
    <row r="2454"/>
    <row r="2455">
      <c r="A2455" t="inlineStr">
        <is>
          <t>T-00483</t>
        </is>
      </c>
    </row>
    <row r="2456">
      <c r="B2456" t="inlineStr">
        <is>
          <t>01/31/2026</t>
        </is>
      </c>
      <c r="C2456" t="inlineStr">
        <is>
          <t>Journal Entry</t>
        </is>
      </c>
      <c r="D2456" t="inlineStr">
        <is>
          <t>JE-1053</t>
        </is>
      </c>
      <c r="E2456" t="inlineStr">
        <is>
          <t>Proseware Payroll</t>
        </is>
      </c>
      <c r="F2456" t="inlineStr">
        <is>
          <t>Payroll 2026-01-31 gross wages</t>
        </is>
      </c>
      <c r="G2456" t="inlineStr">
        <is>
          <t>6000</t>
        </is>
      </c>
      <c r="H2456" t="inlineStr">
        <is>
          <t>Salaries and Wages</t>
        </is>
      </c>
      <c r="I2456" t="inlineStr">
        <is>
          <t>Overhead</t>
        </is>
      </c>
      <c r="J2456">
        <f>24400.00</f>
        <v/>
      </c>
    </row>
    <row r="2457">
      <c r="B2457" t="inlineStr">
        <is>
          <t>01/31/2026</t>
        </is>
      </c>
      <c r="C2457" t="inlineStr">
        <is>
          <t>Journal Entry</t>
        </is>
      </c>
      <c r="D2457" t="inlineStr">
        <is>
          <t>JE-1053</t>
        </is>
      </c>
      <c r="E2457" t="inlineStr">
        <is>
          <t>Proseware Payroll</t>
        </is>
      </c>
      <c r="F2457" t="inlineStr">
        <is>
          <t>Payroll 2026-01-31 employer taxes</t>
        </is>
      </c>
      <c r="G2457" t="inlineStr">
        <is>
          <t>6010</t>
        </is>
      </c>
      <c r="H2457" t="inlineStr">
        <is>
          <t>Payroll Taxes</t>
        </is>
      </c>
      <c r="I2457" t="inlineStr">
        <is>
          <t>Overhead</t>
        </is>
      </c>
      <c r="J2457">
        <f>1866.60</f>
        <v/>
      </c>
    </row>
    <row r="2458">
      <c r="B2458" t="inlineStr">
        <is>
          <t>01/31/2026</t>
        </is>
      </c>
      <c r="C2458" t="inlineStr">
        <is>
          <t>Journal Entry</t>
        </is>
      </c>
      <c r="D2458" t="inlineStr">
        <is>
          <t>JE-1053</t>
        </is>
      </c>
      <c r="E2458" t="inlineStr">
        <is>
          <t>Proseware Payroll</t>
        </is>
      </c>
      <c r="F2458" t="inlineStr">
        <is>
          <t>Proseware payroll debit 2026-01-31</t>
        </is>
      </c>
      <c r="G2458" t="inlineStr">
        <is>
          <t>1010</t>
        </is>
      </c>
      <c r="H2458" t="inlineStr">
        <is>
          <t>Northgate Checking 7742</t>
        </is>
      </c>
      <c r="I2458" t="inlineStr">
        <is>
          <t>Overhead</t>
        </is>
      </c>
      <c r="K2458">
        <f>26266.60</f>
        <v/>
      </c>
    </row>
    <row r="2459">
      <c r="A2459" t="inlineStr">
        <is>
          <t>Total for T-00483</t>
        </is>
      </c>
      <c r="J2459">
        <f>J2456+J2457</f>
        <v/>
      </c>
      <c r="K2459">
        <f>K2458</f>
        <v/>
      </c>
    </row>
    <row r="2460"/>
    <row r="2461">
      <c r="A2461" t="inlineStr">
        <is>
          <t>T-00485</t>
        </is>
      </c>
    </row>
    <row r="2462">
      <c r="B2462" t="inlineStr">
        <is>
          <t>01/31/2026</t>
        </is>
      </c>
      <c r="C2462" t="inlineStr">
        <is>
          <t>Journal Entry</t>
        </is>
      </c>
      <c r="D2462" t="inlineStr">
        <is>
          <t>JE-1055</t>
        </is>
      </c>
      <c r="E2462" t="inlineStr">
        <is>
          <t>Paylane</t>
        </is>
      </c>
      <c r="F2462" t="inlineStr">
        <is>
          <t>Paylane payout 2026-01 #2</t>
        </is>
      </c>
      <c r="G2462" t="inlineStr">
        <is>
          <t>1010</t>
        </is>
      </c>
      <c r="H2462" t="inlineStr">
        <is>
          <t>Northgate Checking 7742</t>
        </is>
      </c>
      <c r="I2462" t="inlineStr">
        <is>
          <t>Product</t>
        </is>
      </c>
      <c r="J2462">
        <f>18428.31</f>
        <v/>
      </c>
    </row>
    <row r="2463">
      <c r="B2463" t="inlineStr">
        <is>
          <t>01/31/2026</t>
        </is>
      </c>
      <c r="C2463" t="inlineStr">
        <is>
          <t>Journal Entry</t>
        </is>
      </c>
      <c r="D2463" t="inlineStr">
        <is>
          <t>JE-1055</t>
        </is>
      </c>
      <c r="E2463" t="inlineStr">
        <is>
          <t>Paylane</t>
        </is>
      </c>
      <c r="F2463" t="inlineStr">
        <is>
          <t>Paylane payout 2026-01 #2</t>
        </is>
      </c>
      <c r="G2463" t="inlineStr">
        <is>
          <t>1200</t>
        </is>
      </c>
      <c r="H2463" t="inlineStr">
        <is>
          <t>Paylane Clearing</t>
        </is>
      </c>
      <c r="I2463" t="inlineStr">
        <is>
          <t>Product</t>
        </is>
      </c>
      <c r="K2463">
        <f>18428.31</f>
        <v/>
      </c>
    </row>
    <row r="2464">
      <c r="A2464" t="inlineStr">
        <is>
          <t>Total for T-00485</t>
        </is>
      </c>
      <c r="J2464">
        <f>J2462</f>
        <v/>
      </c>
      <c r="K2464">
        <f>K2463</f>
        <v/>
      </c>
    </row>
    <row r="2465"/>
    <row r="2466">
      <c r="A2466" t="inlineStr">
        <is>
          <t>T-00486</t>
        </is>
      </c>
    </row>
    <row r="2467">
      <c r="B2467" t="inlineStr">
        <is>
          <t>01/31/2026</t>
        </is>
      </c>
      <c r="C2467" t="inlineStr">
        <is>
          <t>Journal Entry</t>
        </is>
      </c>
      <c r="D2467" t="inlineStr">
        <is>
          <t>JE-1056</t>
        </is>
      </c>
      <c r="E2467" t="inlineStr"/>
      <c r="F2467" t="inlineStr">
        <is>
          <t>Depreciation 2026-01</t>
        </is>
      </c>
      <c r="G2467" t="inlineStr">
        <is>
          <t>7000</t>
        </is>
      </c>
      <c r="H2467" t="inlineStr">
        <is>
          <t>Depreciation Expense</t>
        </is>
      </c>
      <c r="I2467" t="inlineStr">
        <is>
          <t>Product</t>
        </is>
      </c>
      <c r="J2467">
        <f>800.00</f>
        <v/>
      </c>
    </row>
    <row r="2468">
      <c r="B2468" t="inlineStr">
        <is>
          <t>01/31/2026</t>
        </is>
      </c>
      <c r="C2468" t="inlineStr">
        <is>
          <t>Journal Entry</t>
        </is>
      </c>
      <c r="D2468" t="inlineStr">
        <is>
          <t>JE-1056</t>
        </is>
      </c>
      <c r="E2468" t="inlineStr"/>
      <c r="F2468" t="inlineStr">
        <is>
          <t>Depreciation 2026-01</t>
        </is>
      </c>
      <c r="G2468" t="inlineStr">
        <is>
          <t>1510</t>
        </is>
      </c>
      <c r="H2468" t="inlineStr">
        <is>
          <t>Accumulated Depreciation</t>
        </is>
      </c>
      <c r="I2468" t="inlineStr">
        <is>
          <t>Product</t>
        </is>
      </c>
      <c r="K2468">
        <f>800.00</f>
        <v/>
      </c>
    </row>
    <row r="2469">
      <c r="A2469" t="inlineStr">
        <is>
          <t>Total for T-00486</t>
        </is>
      </c>
      <c r="J2469">
        <f>J2467</f>
        <v/>
      </c>
      <c r="K2469">
        <f>K2468</f>
        <v/>
      </c>
    </row>
    <row r="2470"/>
    <row r="2471">
      <c r="A2471" t="inlineStr">
        <is>
          <t>T-00487</t>
        </is>
      </c>
    </row>
    <row r="2472">
      <c r="B2472" t="inlineStr">
        <is>
          <t>02/10/2026</t>
        </is>
      </c>
      <c r="C2472" t="inlineStr">
        <is>
          <t>Invoice</t>
        </is>
      </c>
      <c r="D2472" t="inlineStr">
        <is>
          <t>INV-1026</t>
        </is>
      </c>
      <c r="E2472" t="inlineStr">
        <is>
          <t>Helios Manufacturing LLC</t>
        </is>
      </c>
      <c r="F2472" t="inlineStr">
        <is>
          <t>INV-1026 robot cell</t>
        </is>
      </c>
      <c r="G2472" t="inlineStr">
        <is>
          <t>1100</t>
        </is>
      </c>
      <c r="H2472" t="inlineStr">
        <is>
          <t>Accounts Receivable</t>
        </is>
      </c>
      <c r="I2472" t="inlineStr">
        <is>
          <t>Product</t>
        </is>
      </c>
      <c r="J2472">
        <f>57271.54</f>
        <v/>
      </c>
    </row>
    <row r="2473">
      <c r="B2473" t="inlineStr">
        <is>
          <t>02/10/2026</t>
        </is>
      </c>
      <c r="C2473" t="inlineStr">
        <is>
          <t>Invoice</t>
        </is>
      </c>
      <c r="D2473" t="inlineStr">
        <is>
          <t>INV-1026</t>
        </is>
      </c>
      <c r="E2473" t="inlineStr">
        <is>
          <t>Helios Manufacturing LLC</t>
        </is>
      </c>
      <c r="F2473" t="inlineStr">
        <is>
          <t>INV-1026 robot cell</t>
        </is>
      </c>
      <c r="G2473" t="inlineStr">
        <is>
          <t>4000</t>
        </is>
      </c>
      <c r="H2473" t="inlineStr">
        <is>
          <t>Product Revenue</t>
        </is>
      </c>
      <c r="I2473" t="inlineStr">
        <is>
          <t>Product</t>
        </is>
      </c>
      <c r="K2473">
        <f>57271.54</f>
        <v/>
      </c>
    </row>
    <row r="2474">
      <c r="A2474" t="inlineStr">
        <is>
          <t>Total for T-00487</t>
        </is>
      </c>
      <c r="J2474">
        <f>J2472</f>
        <v/>
      </c>
      <c r="K2474">
        <f>K2473</f>
        <v/>
      </c>
    </row>
    <row r="2475"/>
    <row r="2476">
      <c r="A2476" t="inlineStr">
        <is>
          <t>T-00488</t>
        </is>
      </c>
    </row>
    <row r="2477">
      <c r="B2477" t="inlineStr">
        <is>
          <t>02/10/2026</t>
        </is>
      </c>
      <c r="C2477" t="inlineStr">
        <is>
          <t>Invoice</t>
        </is>
      </c>
      <c r="D2477" t="inlineStr">
        <is>
          <t>INV-1027</t>
        </is>
      </c>
      <c r="E2477" t="inlineStr">
        <is>
          <t>Helios Manufacturing LLC</t>
        </is>
      </c>
      <c r="F2477" t="inlineStr">
        <is>
          <t>INV-1027 support plan</t>
        </is>
      </c>
      <c r="G2477" t="inlineStr">
        <is>
          <t>1100</t>
        </is>
      </c>
      <c r="H2477" t="inlineStr">
        <is>
          <t>Accounts Receivable</t>
        </is>
      </c>
      <c r="I2477" t="inlineStr">
        <is>
          <t>Services</t>
        </is>
      </c>
      <c r="J2477">
        <f>9750.00</f>
        <v/>
      </c>
    </row>
    <row r="2478">
      <c r="B2478" t="inlineStr">
        <is>
          <t>02/10/2026</t>
        </is>
      </c>
      <c r="C2478" t="inlineStr">
        <is>
          <t>Invoice</t>
        </is>
      </c>
      <c r="D2478" t="inlineStr">
        <is>
          <t>INV-1027</t>
        </is>
      </c>
      <c r="E2478" t="inlineStr">
        <is>
          <t>Helios Manufacturing LLC</t>
        </is>
      </c>
      <c r="F2478" t="inlineStr">
        <is>
          <t>INV-1027 support plan</t>
        </is>
      </c>
      <c r="G2478" t="inlineStr">
        <is>
          <t>4100</t>
        </is>
      </c>
      <c r="H2478" t="inlineStr">
        <is>
          <t>Service Revenue</t>
        </is>
      </c>
      <c r="I2478" t="inlineStr">
        <is>
          <t>Services</t>
        </is>
      </c>
      <c r="K2478">
        <f>9750.00</f>
        <v/>
      </c>
    </row>
    <row r="2479">
      <c r="A2479" t="inlineStr">
        <is>
          <t>Total for T-00488</t>
        </is>
      </c>
      <c r="J2479">
        <f>J2477</f>
        <v/>
      </c>
      <c r="K2479">
        <f>K2478</f>
        <v/>
      </c>
    </row>
    <row r="2480"/>
    <row r="2481">
      <c r="A2481" t="inlineStr">
        <is>
          <t>T-00490</t>
        </is>
      </c>
    </row>
    <row r="2482">
      <c r="B2482" t="inlineStr">
        <is>
          <t>02/15/2026</t>
        </is>
      </c>
      <c r="C2482" t="inlineStr">
        <is>
          <t>Journal Entry</t>
        </is>
      </c>
      <c r="D2482" t="inlineStr">
        <is>
          <t>JE-1057</t>
        </is>
      </c>
      <c r="E2482" t="inlineStr">
        <is>
          <t>Proseware Payroll</t>
        </is>
      </c>
      <c r="F2482" t="inlineStr">
        <is>
          <t>Payroll 2026-02-15 gross wages</t>
        </is>
      </c>
      <c r="G2482" t="inlineStr">
        <is>
          <t>6000</t>
        </is>
      </c>
      <c r="H2482" t="inlineStr">
        <is>
          <t>Salaries and Wages</t>
        </is>
      </c>
      <c r="I2482" t="inlineStr">
        <is>
          <t>Overhead</t>
        </is>
      </c>
      <c r="J2482">
        <f>24850.00</f>
        <v/>
      </c>
    </row>
    <row r="2483">
      <c r="B2483" t="inlineStr">
        <is>
          <t>02/15/2026</t>
        </is>
      </c>
      <c r="C2483" t="inlineStr">
        <is>
          <t>Journal Entry</t>
        </is>
      </c>
      <c r="D2483" t="inlineStr">
        <is>
          <t>JE-1057</t>
        </is>
      </c>
      <c r="E2483" t="inlineStr">
        <is>
          <t>Proseware Payroll</t>
        </is>
      </c>
      <c r="F2483" t="inlineStr">
        <is>
          <t>Payroll 2026-02-15 employer taxes</t>
        </is>
      </c>
      <c r="G2483" t="inlineStr">
        <is>
          <t>6010</t>
        </is>
      </c>
      <c r="H2483" t="inlineStr">
        <is>
          <t>Payroll Taxes</t>
        </is>
      </c>
      <c r="I2483" t="inlineStr">
        <is>
          <t>Overhead</t>
        </is>
      </c>
      <c r="J2483">
        <f>1901.02</f>
        <v/>
      </c>
    </row>
    <row r="2484">
      <c r="B2484" t="inlineStr">
        <is>
          <t>02/15/2026</t>
        </is>
      </c>
      <c r="C2484" t="inlineStr">
        <is>
          <t>Journal Entry</t>
        </is>
      </c>
      <c r="D2484" t="inlineStr">
        <is>
          <t>JE-1057</t>
        </is>
      </c>
      <c r="E2484" t="inlineStr">
        <is>
          <t>Proseware Payroll</t>
        </is>
      </c>
      <c r="F2484" t="inlineStr">
        <is>
          <t>Proseware payroll debit 2026-02-15</t>
        </is>
      </c>
      <c r="G2484" t="inlineStr">
        <is>
          <t>1010</t>
        </is>
      </c>
      <c r="H2484" t="inlineStr">
        <is>
          <t>Northgate Checking 7742</t>
        </is>
      </c>
      <c r="I2484" t="inlineStr">
        <is>
          <t>Overhead</t>
        </is>
      </c>
      <c r="K2484">
        <f>26751.02</f>
        <v/>
      </c>
    </row>
    <row r="2485">
      <c r="A2485" t="inlineStr">
        <is>
          <t>Total for T-00490</t>
        </is>
      </c>
      <c r="J2485">
        <f>J2482+J2483</f>
        <v/>
      </c>
      <c r="K2485">
        <f>K2484</f>
        <v/>
      </c>
    </row>
    <row r="2486"/>
    <row r="2487">
      <c r="A2487" t="inlineStr">
        <is>
          <t>T-00492</t>
        </is>
      </c>
    </row>
    <row r="2488">
      <c r="B2488" t="inlineStr">
        <is>
          <t>02/15/2026</t>
        </is>
      </c>
      <c r="C2488" t="inlineStr">
        <is>
          <t>Journal Entry</t>
        </is>
      </c>
      <c r="D2488" t="inlineStr">
        <is>
          <t>JE-1059</t>
        </is>
      </c>
      <c r="E2488" t="inlineStr">
        <is>
          <t>Paylane</t>
        </is>
      </c>
      <c r="F2488" t="inlineStr">
        <is>
          <t>Paylane payout 2026-02 #1</t>
        </is>
      </c>
      <c r="G2488" t="inlineStr">
        <is>
          <t>1010</t>
        </is>
      </c>
      <c r="H2488" t="inlineStr">
        <is>
          <t>Northgate Checking 7742</t>
        </is>
      </c>
      <c r="I2488" t="inlineStr">
        <is>
          <t>Product</t>
        </is>
      </c>
      <c r="J2488">
        <f>23226.73</f>
        <v/>
      </c>
    </row>
    <row r="2489">
      <c r="B2489" t="inlineStr">
        <is>
          <t>02/15/2026</t>
        </is>
      </c>
      <c r="C2489" t="inlineStr">
        <is>
          <t>Journal Entry</t>
        </is>
      </c>
      <c r="D2489" t="inlineStr">
        <is>
          <t>JE-1059</t>
        </is>
      </c>
      <c r="E2489" t="inlineStr">
        <is>
          <t>Paylane</t>
        </is>
      </c>
      <c r="F2489" t="inlineStr">
        <is>
          <t>Paylane payout 2026-02 #1</t>
        </is>
      </c>
      <c r="G2489" t="inlineStr">
        <is>
          <t>1200</t>
        </is>
      </c>
      <c r="H2489" t="inlineStr">
        <is>
          <t>Paylane Clearing</t>
        </is>
      </c>
      <c r="I2489" t="inlineStr">
        <is>
          <t>Product</t>
        </is>
      </c>
      <c r="K2489">
        <f>23226.73</f>
        <v/>
      </c>
    </row>
    <row r="2490">
      <c r="A2490" t="inlineStr">
        <is>
          <t>Total for T-00492</t>
        </is>
      </c>
      <c r="J2490">
        <f>J2488</f>
        <v/>
      </c>
      <c r="K2490">
        <f>K2489</f>
        <v/>
      </c>
    </row>
    <row r="2491"/>
    <row r="2492">
      <c r="A2492" t="inlineStr">
        <is>
          <t>T-00489</t>
        </is>
      </c>
    </row>
    <row r="2493">
      <c r="B2493" t="inlineStr">
        <is>
          <t>02/20/2026</t>
        </is>
      </c>
      <c r="C2493" t="inlineStr">
        <is>
          <t>Bill</t>
        </is>
      </c>
      <c r="D2493" t="inlineStr">
        <is>
          <t>NWS-4413</t>
        </is>
      </c>
      <c r="E2493" t="inlineStr">
        <is>
          <t>Northwind Supply</t>
        </is>
      </c>
      <c r="F2493" t="inlineStr">
        <is>
          <t>NWS-4413 components</t>
        </is>
      </c>
      <c r="G2493" t="inlineStr">
        <is>
          <t>5000</t>
        </is>
      </c>
      <c r="H2493" t="inlineStr">
        <is>
          <t>Cost of Goods Sold - Components</t>
        </is>
      </c>
      <c r="I2493" t="inlineStr">
        <is>
          <t>Product</t>
        </is>
      </c>
      <c r="J2493">
        <f>17002.41</f>
        <v/>
      </c>
    </row>
    <row r="2494">
      <c r="B2494" t="inlineStr">
        <is>
          <t>02/20/2026</t>
        </is>
      </c>
      <c r="C2494" t="inlineStr">
        <is>
          <t>Bill</t>
        </is>
      </c>
      <c r="D2494" t="inlineStr">
        <is>
          <t>NWS-4413</t>
        </is>
      </c>
      <c r="E2494" t="inlineStr">
        <is>
          <t>Northwind Supply</t>
        </is>
      </c>
      <c r="F2494" t="inlineStr">
        <is>
          <t>NWS-4413 components</t>
        </is>
      </c>
      <c r="G2494" t="inlineStr">
        <is>
          <t>2010</t>
        </is>
      </c>
      <c r="H2494" t="inlineStr">
        <is>
          <t>Accounts Payable</t>
        </is>
      </c>
      <c r="I2494" t="inlineStr">
        <is>
          <t>Product</t>
        </is>
      </c>
      <c r="K2494">
        <f>17002.41</f>
        <v/>
      </c>
    </row>
    <row r="2495">
      <c r="A2495" t="inlineStr">
        <is>
          <t>Total for T-00489</t>
        </is>
      </c>
      <c r="J2495">
        <f>J2493</f>
        <v/>
      </c>
      <c r="K2495">
        <f>K2494</f>
        <v/>
      </c>
    </row>
    <row r="2496"/>
    <row r="2497">
      <c r="A2497" t="inlineStr">
        <is>
          <t>T-00491</t>
        </is>
      </c>
    </row>
    <row r="2498">
      <c r="B2498" t="inlineStr">
        <is>
          <t>02/28/2026</t>
        </is>
      </c>
      <c r="C2498" t="inlineStr">
        <is>
          <t>Journal Entry</t>
        </is>
      </c>
      <c r="D2498" t="inlineStr">
        <is>
          <t>JE-1058</t>
        </is>
      </c>
      <c r="E2498" t="inlineStr">
        <is>
          <t>Proseware Payroll</t>
        </is>
      </c>
      <c r="F2498" t="inlineStr">
        <is>
          <t>Payroll 2026-02-28 gross wages</t>
        </is>
      </c>
      <c r="G2498" t="inlineStr">
        <is>
          <t>6000</t>
        </is>
      </c>
      <c r="H2498" t="inlineStr">
        <is>
          <t>Salaries and Wages</t>
        </is>
      </c>
      <c r="I2498" t="inlineStr">
        <is>
          <t>Overhead</t>
        </is>
      </c>
      <c r="J2498">
        <f>24850.00</f>
        <v/>
      </c>
    </row>
    <row r="2499">
      <c r="B2499" t="inlineStr">
        <is>
          <t>02/28/2026</t>
        </is>
      </c>
      <c r="C2499" t="inlineStr">
        <is>
          <t>Journal Entry</t>
        </is>
      </c>
      <c r="D2499" t="inlineStr">
        <is>
          <t>JE-1058</t>
        </is>
      </c>
      <c r="E2499" t="inlineStr">
        <is>
          <t>Proseware Payroll</t>
        </is>
      </c>
      <c r="F2499" t="inlineStr">
        <is>
          <t>Payroll 2026-02-28 employer taxes</t>
        </is>
      </c>
      <c r="G2499" t="inlineStr">
        <is>
          <t>6010</t>
        </is>
      </c>
      <c r="H2499" t="inlineStr">
        <is>
          <t>Payroll Taxes</t>
        </is>
      </c>
      <c r="I2499" t="inlineStr">
        <is>
          <t>Overhead</t>
        </is>
      </c>
      <c r="J2499">
        <f>1901.02</f>
        <v/>
      </c>
    </row>
    <row r="2500">
      <c r="B2500" t="inlineStr">
        <is>
          <t>02/28/2026</t>
        </is>
      </c>
      <c r="C2500" t="inlineStr">
        <is>
          <t>Journal Entry</t>
        </is>
      </c>
      <c r="D2500" t="inlineStr">
        <is>
          <t>JE-1058</t>
        </is>
      </c>
      <c r="E2500" t="inlineStr">
        <is>
          <t>Proseware Payroll</t>
        </is>
      </c>
      <c r="F2500" t="inlineStr">
        <is>
          <t>Proseware payroll debit 2026-02-28</t>
        </is>
      </c>
      <c r="G2500" t="inlineStr">
        <is>
          <t>1010</t>
        </is>
      </c>
      <c r="H2500" t="inlineStr">
        <is>
          <t>Northgate Checking 7742</t>
        </is>
      </c>
      <c r="I2500" t="inlineStr">
        <is>
          <t>Overhead</t>
        </is>
      </c>
      <c r="K2500">
        <f>26751.02</f>
        <v/>
      </c>
    </row>
    <row r="2501">
      <c r="A2501" t="inlineStr">
        <is>
          <t>Total for T-00491</t>
        </is>
      </c>
      <c r="J2501">
        <f>J2498+J2499</f>
        <v/>
      </c>
      <c r="K2501">
        <f>K2500</f>
        <v/>
      </c>
    </row>
    <row r="2502"/>
    <row r="2503">
      <c r="A2503" t="inlineStr">
        <is>
          <t>T-00493</t>
        </is>
      </c>
    </row>
    <row r="2504">
      <c r="B2504" t="inlineStr">
        <is>
          <t>02/28/2026</t>
        </is>
      </c>
      <c r="C2504" t="inlineStr">
        <is>
          <t>Journal Entry</t>
        </is>
      </c>
      <c r="D2504" t="inlineStr">
        <is>
          <t>JE-1060</t>
        </is>
      </c>
      <c r="E2504" t="inlineStr">
        <is>
          <t>Paylane</t>
        </is>
      </c>
      <c r="F2504" t="inlineStr">
        <is>
          <t>Paylane payout 2026-02 #2</t>
        </is>
      </c>
      <c r="G2504" t="inlineStr">
        <is>
          <t>1010</t>
        </is>
      </c>
      <c r="H2504" t="inlineStr">
        <is>
          <t>Northgate Checking 7742</t>
        </is>
      </c>
      <c r="I2504" t="inlineStr">
        <is>
          <t>Product</t>
        </is>
      </c>
      <c r="J2504">
        <f>19003.69</f>
        <v/>
      </c>
    </row>
    <row r="2505">
      <c r="B2505" t="inlineStr">
        <is>
          <t>02/28/2026</t>
        </is>
      </c>
      <c r="C2505" t="inlineStr">
        <is>
          <t>Journal Entry</t>
        </is>
      </c>
      <c r="D2505" t="inlineStr">
        <is>
          <t>JE-1060</t>
        </is>
      </c>
      <c r="E2505" t="inlineStr">
        <is>
          <t>Paylane</t>
        </is>
      </c>
      <c r="F2505" t="inlineStr">
        <is>
          <t>Paylane payout 2026-02 #2</t>
        </is>
      </c>
      <c r="G2505" t="inlineStr">
        <is>
          <t>1200</t>
        </is>
      </c>
      <c r="H2505" t="inlineStr">
        <is>
          <t>Paylane Clearing</t>
        </is>
      </c>
      <c r="I2505" t="inlineStr">
        <is>
          <t>Product</t>
        </is>
      </c>
      <c r="K2505">
        <f>19003.69</f>
        <v/>
      </c>
    </row>
    <row r="2506">
      <c r="A2506" t="inlineStr">
        <is>
          <t>Total for T-00493</t>
        </is>
      </c>
      <c r="J2506">
        <f>J2504</f>
        <v/>
      </c>
      <c r="K2506">
        <f>K2505</f>
        <v/>
      </c>
    </row>
    <row r="2507"/>
    <row r="2508">
      <c r="A2508" t="inlineStr">
        <is>
          <t>T-00494</t>
        </is>
      </c>
    </row>
    <row r="2509">
      <c r="B2509" t="inlineStr">
        <is>
          <t>02/28/2026</t>
        </is>
      </c>
      <c r="C2509" t="inlineStr">
        <is>
          <t>Journal Entry</t>
        </is>
      </c>
      <c r="D2509" t="inlineStr">
        <is>
          <t>JE-1061</t>
        </is>
      </c>
      <c r="E2509" t="inlineStr"/>
      <c r="F2509" t="inlineStr">
        <is>
          <t>Depreciation 2026-02</t>
        </is>
      </c>
      <c r="G2509" t="inlineStr">
        <is>
          <t>7000</t>
        </is>
      </c>
      <c r="H2509" t="inlineStr">
        <is>
          <t>Depreciation Expense</t>
        </is>
      </c>
      <c r="I2509" t="inlineStr">
        <is>
          <t>Product</t>
        </is>
      </c>
      <c r="J2509">
        <f>800.00</f>
        <v/>
      </c>
    </row>
    <row r="2510">
      <c r="B2510" t="inlineStr">
        <is>
          <t>02/28/2026</t>
        </is>
      </c>
      <c r="C2510" t="inlineStr">
        <is>
          <t>Journal Entry</t>
        </is>
      </c>
      <c r="D2510" t="inlineStr">
        <is>
          <t>JE-1061</t>
        </is>
      </c>
      <c r="E2510" t="inlineStr"/>
      <c r="F2510" t="inlineStr">
        <is>
          <t>Depreciation 2026-02</t>
        </is>
      </c>
      <c r="G2510" t="inlineStr">
        <is>
          <t>1510</t>
        </is>
      </c>
      <c r="H2510" t="inlineStr">
        <is>
          <t>Accumulated Depreciation</t>
        </is>
      </c>
      <c r="I2510" t="inlineStr">
        <is>
          <t>Product</t>
        </is>
      </c>
      <c r="K2510">
        <f>800.00</f>
        <v/>
      </c>
    </row>
    <row r="2511">
      <c r="A2511" t="inlineStr">
        <is>
          <t>Total for T-00494</t>
        </is>
      </c>
      <c r="J2511">
        <f>J2509</f>
        <v/>
      </c>
      <c r="K2511">
        <f>K2510</f>
        <v/>
      </c>
    </row>
    <row r="2512"/>
    <row r="2513">
      <c r="A2513" t="inlineStr">
        <is>
          <t>TOTAL</t>
        </is>
      </c>
      <c r="J2513">
        <f>4089195.91</f>
        <v/>
      </c>
      <c r="K2513">
        <f>4089195.91</f>
        <v/>
      </c>
    </row>
    <row r="2514"/>
    <row r="2515">
      <c r="A2515" t="inlineStr">
        <is>
          <t>Accrual Basis Monday, March 02, 2026 08:03 PM GMT-8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2026-09-10T02:33:14Z</dcterms:created>
  <dcterms:modified xmlns:dcterms="http://purl.org/dc/terms/" xmlns:xsi="http://www.w3.org/2001/XMLSchema-instance" xsi:type="dcterms:W3CDTF">2026-09-10T02:33:14Z</dcterms:modified>
</cp:coreProperties>
</file>