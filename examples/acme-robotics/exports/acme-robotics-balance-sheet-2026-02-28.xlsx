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</t>
        </is>
      </c>
    </row>
    <row r="2">
      <c r="A2" t="inlineStr">
        <is>
          <t>Acme Robotics Inc.</t>
        </is>
      </c>
    </row>
    <row r="3">
      <c r="A3" t="inlineStr">
        <is>
          <t>As of February 28, 2026</t>
        </is>
      </c>
    </row>
    <row r="4"/>
    <row r="5">
      <c r="A5" t="inlineStr"/>
      <c r="B5" t="inlineStr">
        <is>
          <t>Total</t>
        </is>
      </c>
    </row>
    <row r="6">
      <c r="A6" t="inlineStr">
        <is>
          <t>Current Assets</t>
        </is>
      </c>
    </row>
    <row r="7">
      <c r="A7" t="inlineStr">
        <is>
          <t>1010 Northgate Checking 7742</t>
        </is>
      </c>
      <c r="B7">
        <f>314915.44</f>
        <v/>
      </c>
    </row>
    <row r="8">
      <c r="A8" t="inlineStr">
        <is>
          <t>1020 Northgate Savings 7809</t>
        </is>
      </c>
      <c r="B8">
        <f>45090.09</f>
        <v/>
      </c>
    </row>
    <row r="9">
      <c r="A9" t="inlineStr">
        <is>
          <t>1100 Accounts Receivable</t>
        </is>
      </c>
      <c r="B9">
        <f>360519.00</f>
        <v/>
      </c>
    </row>
    <row r="10">
      <c r="A10" t="inlineStr">
        <is>
          <t>1200 Paylane Clearing</t>
        </is>
      </c>
      <c r="B10">
        <f>-232441.76</f>
        <v/>
      </c>
    </row>
    <row r="11">
      <c r="A11" t="inlineStr">
        <is>
          <t>1300 Prepaid Insurance</t>
        </is>
      </c>
      <c r="B11">
        <f>7200.00</f>
        <v/>
      </c>
    </row>
    <row r="12">
      <c r="A12" t="inlineStr">
        <is>
          <t>1310 Prepaid Software</t>
        </is>
      </c>
      <c r="B12">
        <f>4800.00</f>
        <v/>
      </c>
    </row>
    <row r="13">
      <c r="A13" t="inlineStr">
        <is>
          <t>Total for Current Assets</t>
        </is>
      </c>
      <c r="B13">
        <f>500082.77</f>
        <v/>
      </c>
    </row>
    <row r="14"/>
    <row r="15">
      <c r="A15" t="inlineStr">
        <is>
          <t>Fixed Assets</t>
        </is>
      </c>
    </row>
    <row r="16">
      <c r="A16" t="inlineStr">
        <is>
          <t>1500 Machinery and Equipment</t>
        </is>
      </c>
      <c r="B16">
        <f>48000.00</f>
        <v/>
      </c>
    </row>
    <row r="17">
      <c r="A17" t="inlineStr">
        <is>
          <t>1510 Accumulated Depreciation</t>
        </is>
      </c>
      <c r="B17">
        <f>-10400.00</f>
        <v/>
      </c>
    </row>
    <row r="18">
      <c r="A18" t="inlineStr">
        <is>
          <t>Total for Fixed Assets</t>
        </is>
      </c>
      <c r="B18">
        <f>37600.00</f>
        <v/>
      </c>
    </row>
    <row r="19"/>
    <row r="20">
      <c r="A20" t="inlineStr">
        <is>
          <t>Other Assets</t>
        </is>
      </c>
    </row>
    <row r="21">
      <c r="A21" t="inlineStr">
        <is>
          <t>1600 Intangible Assets - Design License</t>
        </is>
      </c>
      <c r="B21">
        <f>60000.00</f>
        <v/>
      </c>
    </row>
    <row r="22">
      <c r="A22" t="inlineStr">
        <is>
          <t>1610 Accumulated Amortization - Design License</t>
        </is>
      </c>
      <c r="B22">
        <f>-7000.00</f>
        <v/>
      </c>
    </row>
    <row r="23">
      <c r="A23" t="inlineStr">
        <is>
          <t>Total for Other Assets</t>
        </is>
      </c>
      <c r="B23">
        <f>53000.00</f>
        <v/>
      </c>
    </row>
    <row r="24"/>
    <row r="25">
      <c r="A25" t="inlineStr">
        <is>
          <t>Current Liabilities</t>
        </is>
      </c>
    </row>
    <row r="26">
      <c r="A26" t="inlineStr">
        <is>
          <t>2010 Accounts Payable</t>
        </is>
      </c>
      <c r="B26">
        <f>93014.02</f>
        <v/>
      </c>
    </row>
    <row r="27">
      <c r="A27" t="inlineStr">
        <is>
          <t>2100 Vantage Card 3391</t>
        </is>
      </c>
      <c r="B27">
        <f>-41385.93</f>
        <v/>
      </c>
    </row>
    <row r="28">
      <c r="A28" t="inlineStr">
        <is>
          <t>Vantage Credit Card 3391</t>
        </is>
      </c>
      <c r="B28">
        <f>32402.91</f>
        <v/>
      </c>
    </row>
    <row r="29">
      <c r="A29" t="inlineStr">
        <is>
          <t>Total for Current Liabilities</t>
        </is>
      </c>
      <c r="B29">
        <f>84031.00</f>
        <v/>
      </c>
    </row>
    <row r="30"/>
    <row r="31">
      <c r="A31" t="inlineStr">
        <is>
          <t>Equity</t>
        </is>
      </c>
    </row>
    <row r="32">
      <c r="A32" t="inlineStr">
        <is>
          <t>3000 Common Stock</t>
        </is>
      </c>
      <c r="B32">
        <f>1000.00</f>
        <v/>
      </c>
    </row>
    <row r="33">
      <c r="A33" t="inlineStr">
        <is>
          <t>3100 Additional Paid-In Capital</t>
        </is>
      </c>
      <c r="B33">
        <f>24000.00</f>
        <v/>
      </c>
    </row>
    <row r="34">
      <c r="A34" t="inlineStr">
        <is>
          <t>3200 Opening Balance Equity</t>
        </is>
      </c>
      <c r="B34">
        <f>-4182.65</f>
        <v/>
      </c>
    </row>
    <row r="35">
      <c r="A35" t="inlineStr">
        <is>
          <t>3300 SAFE - Simple Agreement for Future Equity</t>
        </is>
      </c>
      <c r="B35">
        <f>750000.00</f>
        <v/>
      </c>
    </row>
    <row r="36">
      <c r="A36" t="inlineStr">
        <is>
          <t>3900 Retained Earnings</t>
        </is>
      </c>
      <c r="B36">
        <f>0.00</f>
        <v/>
      </c>
    </row>
    <row r="37">
      <c r="A37" t="inlineStr">
        <is>
          <t>Net Income</t>
        </is>
      </c>
      <c r="B37">
        <f>-264165.58</f>
        <v/>
      </c>
    </row>
    <row r="38">
      <c r="A38" t="inlineStr">
        <is>
          <t>Total for Equity</t>
        </is>
      </c>
      <c r="B38">
        <f>506651.77</f>
        <v/>
      </c>
    </row>
    <row r="39"/>
    <row r="40">
      <c r="A40" t="inlineStr">
        <is>
          <t>TOTAL ASSETS</t>
        </is>
      </c>
      <c r="B40">
        <f>590682.77</f>
        <v/>
      </c>
    </row>
    <row r="41">
      <c r="A41" t="inlineStr">
        <is>
          <t>TOTAL LIABILITIES AND EQUITY</t>
        </is>
      </c>
      <c r="B41">
        <f>590682.77</f>
        <v/>
      </c>
    </row>
    <row r="42"/>
    <row r="43">
      <c r="A43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